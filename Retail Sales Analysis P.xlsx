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hidePivotFieldList="1"/>
  <xr:revisionPtr revIDLastSave="0" documentId="8_{4D72F6C3-1AA9-4E41-9B32-ECC6289CF67F}" xr6:coauthVersionLast="47" xr6:coauthVersionMax="47" xr10:uidLastSave="{00000000-0000-0000-0000-000000000000}"/>
  <bookViews>
    <workbookView xWindow="0" yWindow="0" windowWidth="0" windowHeight="0" firstSheet="4" activeTab="4" xr2:uid="{00000000-000D-0000-FFFF-FFFF00000000}"/>
  </bookViews>
  <sheets>
    <sheet name="Raw_Data" sheetId="1" r:id="rId1"/>
    <sheet name="Cleaned_data" sheetId="2" r:id="rId2"/>
    <sheet name="Analysis" sheetId="3" r:id="rId3"/>
    <sheet name="Dashboard" sheetId="4" r:id="rId4"/>
    <sheet name="Documentation" sheetId="5" r:id="rId5"/>
  </sheets>
  <definedNames>
    <definedName name="_xlnm._FilterDatabase" localSheetId="0" hidden="1">Raw_Data!$A$1:$R$653</definedName>
    <definedName name="Slicer_Region">#N/A</definedName>
  </definedNames>
  <calcPr calcId="191028"/>
  <pivotCaches>
    <pivotCache cacheId="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4" l="1"/>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B1" i="3"/>
  <c r="A4" i="4" s="1"/>
  <c r="B29" i="3"/>
  <c r="E4" i="4" s="1"/>
  <c r="B28" i="3"/>
  <c r="D4" i="4" s="1"/>
  <c r="I3" i="3"/>
  <c r="I4" i="3"/>
  <c r="C4" i="4" s="1"/>
</calcChain>
</file>

<file path=xl/sharedStrings.xml><?xml version="1.0" encoding="utf-8"?>
<sst xmlns="http://schemas.openxmlformats.org/spreadsheetml/2006/main" count="13204" uniqueCount="834">
  <si>
    <t>Order_ID</t>
  </si>
  <si>
    <t>Order_Date</t>
  </si>
  <si>
    <t>Region</t>
  </si>
  <si>
    <t>City</t>
  </si>
  <si>
    <t>Sales_Channel</t>
  </si>
  <si>
    <t>Customer_Type</t>
  </si>
  <si>
    <t>Product</t>
  </si>
  <si>
    <t>Category</t>
  </si>
  <si>
    <t>Quantity</t>
  </si>
  <si>
    <t>Unit_Price_INR</t>
  </si>
  <si>
    <t>Discount</t>
  </si>
  <si>
    <t>Payment_Method</t>
  </si>
  <si>
    <t>Salesperson</t>
  </si>
  <si>
    <t>Order_Status</t>
  </si>
  <si>
    <t>Gross_Sales_INR</t>
  </si>
  <si>
    <t>Discount_Amount_INR</t>
  </si>
  <si>
    <t>Net_Sales_INR</t>
  </si>
  <si>
    <t>Delivery_Days</t>
  </si>
  <si>
    <t>ORD-10585</t>
  </si>
  <si>
    <t>North</t>
  </si>
  <si>
    <t>Lucknow</t>
  </si>
  <si>
    <t>Retail Store</t>
  </si>
  <si>
    <t>Individual</t>
  </si>
  <si>
    <t>Smartphone</t>
  </si>
  <si>
    <t>Electronics</t>
  </si>
  <si>
    <t>Cash on Delivery</t>
  </si>
  <si>
    <t>Rohan Sharma</t>
  </si>
  <si>
    <t>Delivered</t>
  </si>
  <si>
    <t>ORD-10397</t>
  </si>
  <si>
    <t>West</t>
  </si>
  <si>
    <t>Surat</t>
  </si>
  <si>
    <t>Small Business</t>
  </si>
  <si>
    <t>Backpack</t>
  </si>
  <si>
    <t>Accessories</t>
  </si>
  <si>
    <t>Net Banking</t>
  </si>
  <si>
    <t>Aarav Mehta</t>
  </si>
  <si>
    <t>ORD-10292</t>
  </si>
  <si>
    <t>Laptop</t>
  </si>
  <si>
    <t>Priya Nair</t>
  </si>
  <si>
    <t>ORD-10085</t>
  </si>
  <si>
    <t>South</t>
  </si>
  <si>
    <t>Chennai</t>
  </si>
  <si>
    <t>Online</t>
  </si>
  <si>
    <t>Mouse</t>
  </si>
  <si>
    <t>Vikram Singh</t>
  </si>
  <si>
    <t>Cancelled</t>
  </si>
  <si>
    <t>ORD-10198</t>
  </si>
  <si>
    <t>Hyderabad</t>
  </si>
  <si>
    <t>Printer</t>
  </si>
  <si>
    <t>Office Equipment</t>
  </si>
  <si>
    <t>Sneha Iyer</t>
  </si>
  <si>
    <t>ORD-10526</t>
  </si>
  <si>
    <t>Noida</t>
  </si>
  <si>
    <t>Enterprise</t>
  </si>
  <si>
    <t>Debit Card</t>
  </si>
  <si>
    <t>Karan Patel</t>
  </si>
  <si>
    <t>ORD-10121</t>
  </si>
  <si>
    <t>Delhi</t>
  </si>
  <si>
    <t>External SSD</t>
  </si>
  <si>
    <t>Storage</t>
  </si>
  <si>
    <t>ORD-10109</t>
  </si>
  <si>
    <t>Mumbai</t>
  </si>
  <si>
    <t>Keyboard</t>
  </si>
  <si>
    <t>ORD-10527</t>
  </si>
  <si>
    <t>UPI</t>
  </si>
  <si>
    <t>ORD-10083</t>
  </si>
  <si>
    <t>Ananya Rao</t>
  </si>
  <si>
    <t>ORD-10320</t>
  </si>
  <si>
    <t>Credit Card</t>
  </si>
  <si>
    <t>ORD-10530</t>
  </si>
  <si>
    <t>Corporate</t>
  </si>
  <si>
    <t>Neha Kapoor</t>
  </si>
  <si>
    <t>ORD-10565</t>
  </si>
  <si>
    <t>Office Chair</t>
  </si>
  <si>
    <t>Furniture</t>
  </si>
  <si>
    <t>ORD-10375</t>
  </si>
  <si>
    <t>ORD-10381</t>
  </si>
  <si>
    <t>ORD-10330</t>
  </si>
  <si>
    <t>Pune</t>
  </si>
  <si>
    <t>ORD-10200</t>
  </si>
  <si>
    <t>ORD-10234</t>
  </si>
  <si>
    <t>ORD-10222</t>
  </si>
  <si>
    <t>East</t>
  </si>
  <si>
    <t>Guwahati</t>
  </si>
  <si>
    <t>ORD-10634</t>
  </si>
  <si>
    <t>Ahmedabad</t>
  </si>
  <si>
    <t>ORD-10126</t>
  </si>
  <si>
    <t>ORD-10648</t>
  </si>
  <si>
    <t>ORD-10594</t>
  </si>
  <si>
    <t>Bengaluru</t>
  </si>
  <si>
    <t>ORD-10061</t>
  </si>
  <si>
    <t>ORD-10243</t>
  </si>
  <si>
    <t>Monitor</t>
  </si>
  <si>
    <t>ORD-10604</t>
  </si>
  <si>
    <t>ORD-10471</t>
  </si>
  <si>
    <t>Tablet</t>
  </si>
  <si>
    <t>ORD-10620</t>
  </si>
  <si>
    <t>ORD-10457</t>
  </si>
  <si>
    <t>ORD-10360</t>
  </si>
  <si>
    <t>ORD-10512</t>
  </si>
  <si>
    <t>ORD-10349</t>
  </si>
  <si>
    <t>Power Bank</t>
  </si>
  <si>
    <t>ORD-10606</t>
  </si>
  <si>
    <t>Jaipur</t>
  </si>
  <si>
    <t>ORD-10092</t>
  </si>
  <si>
    <t>Wireless Headphones</t>
  </si>
  <si>
    <t>ORD-10187</t>
  </si>
  <si>
    <t>ORD-10164</t>
  </si>
  <si>
    <t>ORD-10347</t>
  </si>
  <si>
    <t>ORD-10301</t>
  </si>
  <si>
    <t>ORD-10014</t>
  </si>
  <si>
    <t>ORD-10265</t>
  </si>
  <si>
    <t>ORD-10017</t>
  </si>
  <si>
    <t>ORD-10327</t>
  </si>
  <si>
    <t>ORD-10144</t>
  </si>
  <si>
    <t>Kochi</t>
  </si>
  <si>
    <t>ORD-10385</t>
  </si>
  <si>
    <t>ORD-10631</t>
  </si>
  <si>
    <t>ORD-10432</t>
  </si>
  <si>
    <t>ORD-10536</t>
  </si>
  <si>
    <t>ORD-10328</t>
  </si>
  <si>
    <t>ORD-10476</t>
  </si>
  <si>
    <t>Bhubaneswar</t>
  </si>
  <si>
    <t>ORD-10590</t>
  </si>
  <si>
    <t>ORD-10143</t>
  </si>
  <si>
    <t>ORD-10141</t>
  </si>
  <si>
    <t>ORD-10305</t>
  </si>
  <si>
    <t>ORD-10507</t>
  </si>
  <si>
    <t>ORD-10388</t>
  </si>
  <si>
    <t>ORD-10271</t>
  </si>
  <si>
    <t>Returned</t>
  </si>
  <si>
    <t>ORD-10494</t>
  </si>
  <si>
    <t>ORD-10478</t>
  </si>
  <si>
    <t>ORD-10194</t>
  </si>
  <si>
    <t>ORD-10071</t>
  </si>
  <si>
    <t>ORD-10411</t>
  </si>
  <si>
    <t>ORD-10091</t>
  </si>
  <si>
    <t>ORD-10416</t>
  </si>
  <si>
    <t>ORD-10402</t>
  </si>
  <si>
    <t>ORD-10156</t>
  </si>
  <si>
    <t>ORD-10082</t>
  </si>
  <si>
    <t>ORD-10201</t>
  </si>
  <si>
    <t>ORD-10184</t>
  </si>
  <si>
    <t>ORD-10288</t>
  </si>
  <si>
    <t>ORD-10159</t>
  </si>
  <si>
    <t>ORD-10342</t>
  </si>
  <si>
    <t>ORD-10559</t>
  </si>
  <si>
    <t>ORD-10110</t>
  </si>
  <si>
    <t>ORD-10332</t>
  </si>
  <si>
    <t>Webcam</t>
  </si>
  <si>
    <t>ORD-10171</t>
  </si>
  <si>
    <t>ORD-10030</t>
  </si>
  <si>
    <t>Office Desk</t>
  </si>
  <si>
    <t>ORD-10264</t>
  </si>
  <si>
    <t>ORD-10020</t>
  </si>
  <si>
    <t>ORD-10352</t>
  </si>
  <si>
    <t>ORD-10055</t>
  </si>
  <si>
    <t>ORD-10147</t>
  </si>
  <si>
    <t>ORD-10482</t>
  </si>
  <si>
    <t>ORD-10612</t>
  </si>
  <si>
    <t>ORD-10490</t>
  </si>
  <si>
    <t>ORD-10422</t>
  </si>
  <si>
    <t>ORD-10486</t>
  </si>
  <si>
    <t>ORD-10642</t>
  </si>
  <si>
    <t>ORD-10041</t>
  </si>
  <si>
    <t>ORD-10178</t>
  </si>
  <si>
    <t>ORD-10054</t>
  </si>
  <si>
    <t>ORD-10445</t>
  </si>
  <si>
    <t>ORD-10534</t>
  </si>
  <si>
    <t>ORD-10134</t>
  </si>
  <si>
    <t>ORD-10493</t>
  </si>
  <si>
    <t>ORD-10213</t>
  </si>
  <si>
    <t>ORD-10247</t>
  </si>
  <si>
    <t>ORD-10405</t>
  </si>
  <si>
    <t>ORD-10468</t>
  </si>
  <si>
    <t>ORD-10051</t>
  </si>
  <si>
    <t>ORD-10574</t>
  </si>
  <si>
    <t>ORD-10124</t>
  </si>
  <si>
    <t>Kolkata</t>
  </si>
  <si>
    <t>ORD-10248</t>
  </si>
  <si>
    <t>ORD-10497</t>
  </si>
  <si>
    <t>ORD-10599</t>
  </si>
  <si>
    <t>ORD-10066</t>
  </si>
  <si>
    <t>ORD-10372</t>
  </si>
  <si>
    <t>ORD-10323</t>
  </si>
  <si>
    <t>ORD-10617</t>
  </si>
  <si>
    <t>ORD-10462</t>
  </si>
  <si>
    <t>ORD-10172</t>
  </si>
  <si>
    <t>ORD-10214</t>
  </si>
  <si>
    <t>ORD-10417</t>
  </si>
  <si>
    <t>ORD-10391</t>
  </si>
  <si>
    <t>ORD-10545</t>
  </si>
  <si>
    <t>ORD-10333</t>
  </si>
  <si>
    <t>ORD-10568</t>
  </si>
  <si>
    <t>ORD-10567</t>
  </si>
  <si>
    <t>ORD-10399</t>
  </si>
  <si>
    <t>ORD-10436</t>
  </si>
  <si>
    <t>ORD-10072</t>
  </si>
  <si>
    <t>ORD-10273</t>
  </si>
  <si>
    <t>ORD-10060</t>
  </si>
  <si>
    <t>ORD-10369</t>
  </si>
  <si>
    <t>ORD-10452</t>
  </si>
  <si>
    <t>ORD-10363</t>
  </si>
  <si>
    <t>ORD-10033</t>
  </si>
  <si>
    <t>ORD-10249</t>
  </si>
  <si>
    <t>ORD-10315</t>
  </si>
  <si>
    <t>ORD-10300</t>
  </si>
  <si>
    <t>ORD-10608</t>
  </si>
  <si>
    <t>ORD-10277</t>
  </si>
  <si>
    <t>ORD-10573</t>
  </si>
  <si>
    <t>ORD-10395</t>
  </si>
  <si>
    <t>ORD-10435</t>
  </si>
  <si>
    <t>ORD-10282</t>
  </si>
  <si>
    <t>ORD-10510</t>
  </si>
  <si>
    <t>ORD-10137</t>
  </si>
  <si>
    <t>ORD-10269</t>
  </si>
  <si>
    <t>ORD-10418</t>
  </si>
  <si>
    <t>ORD-10148</t>
  </si>
  <si>
    <t>ORD-10623</t>
  </si>
  <si>
    <t>ORD-10101</t>
  </si>
  <si>
    <t>ORD-10367</t>
  </si>
  <si>
    <t>ORD-10428</t>
  </si>
  <si>
    <t>ORD-10291</t>
  </si>
  <si>
    <t>ORD-10335</t>
  </si>
  <si>
    <t>ORD-10281</t>
  </si>
  <si>
    <t>ORD-10217</t>
  </si>
  <si>
    <t>ORD-10626</t>
  </si>
  <si>
    <t>ORD-10550</t>
  </si>
  <si>
    <t>ORD-10199</t>
  </si>
  <si>
    <t>ORD-10439</t>
  </si>
  <si>
    <t>ORD-10115</t>
  </si>
  <si>
    <t>ORD-10177</t>
  </si>
  <si>
    <t>ORD-10224</t>
  </si>
  <si>
    <t>ORD-10152</t>
  </si>
  <si>
    <t>ORD-10131</t>
  </si>
  <si>
    <t>ORD-10419</t>
  </si>
  <si>
    <t>ORD-10057</t>
  </si>
  <si>
    <t>ORD-10031</t>
  </si>
  <si>
    <t>ORD-10256</t>
  </si>
  <si>
    <t>ORD-10080</t>
  </si>
  <si>
    <t>ORD-10310</t>
  </si>
  <si>
    <t>ORD-10368</t>
  </si>
  <si>
    <t>ORD-10458</t>
  </si>
  <si>
    <t>ORD-10535</t>
  </si>
  <si>
    <t>ORD-10262</t>
  </si>
  <si>
    <t>ORD-10183</t>
  </si>
  <si>
    <t>ORD-10022</t>
  </si>
  <si>
    <t>ORD-10619</t>
  </si>
  <si>
    <t>ORD-10230</t>
  </si>
  <si>
    <t>ORD-10104</t>
  </si>
  <si>
    <t>ORD-10160</t>
  </si>
  <si>
    <t>ORD-10189</t>
  </si>
  <si>
    <t>ORD-10297</t>
  </si>
  <si>
    <t>ORD-10361</t>
  </si>
  <si>
    <t>ORD-10246</t>
  </si>
  <si>
    <t>ORD-10382</t>
  </si>
  <si>
    <t>ORD-10235</t>
  </si>
  <si>
    <t>ORD-10065</t>
  </si>
  <si>
    <t>ORD-10600</t>
  </si>
  <si>
    <t>ORD-10366</t>
  </si>
  <si>
    <t>ORD-10383</t>
  </si>
  <si>
    <t>ORD-10461</t>
  </si>
  <si>
    <t>ORD-10103</t>
  </si>
  <si>
    <t>ORD-10613</t>
  </si>
  <si>
    <t>ORD-10111</t>
  </si>
  <si>
    <t>ORD-10564</t>
  </si>
  <si>
    <t>ORD-10309</t>
  </si>
  <si>
    <t>ORD-10625</t>
  </si>
  <si>
    <t>ORD-10231</t>
  </si>
  <si>
    <t>ORD-10237</t>
  </si>
  <si>
    <t>ORD-10412</t>
  </si>
  <si>
    <t>ORD-10081</t>
  </si>
  <si>
    <t>ORD-10578</t>
  </si>
  <si>
    <t>ORD-10052</t>
  </si>
  <si>
    <t>ORD-10509</t>
  </si>
  <si>
    <t>ORD-10426</t>
  </si>
  <si>
    <t>ORD-10447</t>
  </si>
  <si>
    <t>ORD-10516</t>
  </si>
  <si>
    <t>ORD-10290</t>
  </si>
  <si>
    <t>ORD-10645</t>
  </si>
  <si>
    <t>ORD-10013</t>
  </si>
  <si>
    <t>ORD-10227</t>
  </si>
  <si>
    <t>ORD-10001</t>
  </si>
  <si>
    <t>ORD-10158</t>
  </si>
  <si>
    <t>ORD-10139</t>
  </si>
  <si>
    <t>ORD-10296</t>
  </si>
  <si>
    <t>ORD-10529</t>
  </si>
  <si>
    <t>ORD-10047</t>
  </si>
  <si>
    <t>ORD-10505</t>
  </si>
  <si>
    <t>ORD-10012</t>
  </si>
  <si>
    <t>ORD-10274</t>
  </si>
  <si>
    <t>ORD-10629</t>
  </si>
  <si>
    <t>ORD-10598</t>
  </si>
  <si>
    <t>ORD-10113</t>
  </si>
  <si>
    <t>ORD-10353</t>
  </si>
  <si>
    <t>ORD-10379</t>
  </si>
  <si>
    <t>ORD-10086</t>
  </si>
  <si>
    <t>ORD-10348</t>
  </si>
  <si>
    <t>ORD-10346</t>
  </si>
  <si>
    <t>ORD-10275</t>
  </si>
  <si>
    <t>ORD-10175</t>
  </si>
  <si>
    <t>ORD-10424</t>
  </si>
  <si>
    <t>ORD-10207</t>
  </si>
  <si>
    <t>ORD-10112</t>
  </si>
  <si>
    <t>ORD-10221</t>
  </si>
  <si>
    <t>ORD-10019</t>
  </si>
  <si>
    <t>ORD-10011</t>
  </si>
  <si>
    <t>ORD-10472</t>
  </si>
  <si>
    <t>ORD-10313</t>
  </si>
  <si>
    <t>ORD-10034</t>
  </si>
  <si>
    <t>ORD-10045</t>
  </si>
  <si>
    <t>ORD-10549</t>
  </si>
  <si>
    <t>ORD-10473</t>
  </si>
  <si>
    <t>ORD-10155</t>
  </si>
  <si>
    <t>ORD-10615</t>
  </si>
  <si>
    <t>ORD-10298</t>
  </si>
  <si>
    <t>ORD-10480</t>
  </si>
  <si>
    <t>ORD-10266</t>
  </si>
  <si>
    <t>ORD-10441</t>
  </si>
  <si>
    <t>ORD-10326</t>
  </si>
  <si>
    <t>ORD-10470</t>
  </si>
  <si>
    <t>ORD-10463</t>
  </si>
  <si>
    <t>ORD-10396</t>
  </si>
  <si>
    <t>ORD-10503</t>
  </si>
  <si>
    <t>ORD-10515</t>
  </si>
  <si>
    <t>ORD-10032</t>
  </si>
  <si>
    <t>ORD-10307</t>
  </si>
  <si>
    <t>ORD-10094</t>
  </si>
  <si>
    <t>ORD-10542</t>
  </si>
  <si>
    <t>ORD-10548</t>
  </si>
  <si>
    <t>ORD-10380</t>
  </si>
  <si>
    <t>ORD-10420</t>
  </si>
  <si>
    <t>ORD-10555</t>
  </si>
  <si>
    <t>ORD-10191</t>
  </si>
  <si>
    <t>ORD-10451</t>
  </si>
  <si>
    <t>ORD-10167</t>
  </si>
  <si>
    <t>ORD-10097</t>
  </si>
  <si>
    <t>ORD-10003</t>
  </si>
  <si>
    <t>ORD-10558</t>
  </si>
  <si>
    <t>ORD-10517</t>
  </si>
  <si>
    <t>ORD-10007</t>
  </si>
  <si>
    <t>ORD-10321</t>
  </si>
  <si>
    <t>ORD-10483</t>
  </si>
  <si>
    <t>ORD-10127</t>
  </si>
  <si>
    <t>ORD-10299</t>
  </si>
  <si>
    <t>ORD-10295</t>
  </si>
  <si>
    <t>ORD-10021</t>
  </si>
  <si>
    <t>ORD-10627</t>
  </si>
  <si>
    <t>ORD-10448</t>
  </si>
  <si>
    <t>ORD-10025</t>
  </si>
  <si>
    <t>ORD-10258</t>
  </si>
  <si>
    <t>ORD-10280</t>
  </si>
  <si>
    <t>ORD-10153</t>
  </si>
  <si>
    <t>ORD-10621</t>
  </si>
  <si>
    <t>ORD-10132</t>
  </si>
  <si>
    <t>ORD-10518</t>
  </si>
  <si>
    <t>ORD-10220</t>
  </si>
  <si>
    <t>ORD-10287</t>
  </si>
  <si>
    <t>ORD-10454</t>
  </si>
  <si>
    <t>ORD-10583</t>
  </si>
  <si>
    <t>ORD-10488</t>
  </si>
  <si>
    <t>ORD-10554</t>
  </si>
  <si>
    <t>ORD-10100</t>
  </si>
  <si>
    <t>ORD-10622</t>
  </si>
  <si>
    <t>ORD-10223</t>
  </si>
  <si>
    <t>ORD-10157</t>
  </si>
  <si>
    <t>ORD-10188</t>
  </si>
  <si>
    <t>ORD-10241</t>
  </si>
  <si>
    <t>ORD-10238</t>
  </si>
  <si>
    <t>ORD-10254</t>
  </si>
  <si>
    <t>ORD-10270</t>
  </si>
  <si>
    <t>ORD-10628</t>
  </si>
  <si>
    <t>ORD-10553</t>
  </si>
  <si>
    <t>ORD-10467</t>
  </si>
  <si>
    <t>ORD-10314</t>
  </si>
  <si>
    <t>ORD-10444</t>
  </si>
  <si>
    <t>ORD-10142</t>
  </si>
  <si>
    <t>ORD-10316</t>
  </si>
  <si>
    <t>ORD-10325</t>
  </si>
  <si>
    <t>ORD-10570</t>
  </si>
  <si>
    <t>ORD-10182</t>
  </si>
  <si>
    <t>ORD-10437</t>
  </si>
  <si>
    <t>ORD-10063</t>
  </si>
  <si>
    <t>ORD-10443</t>
  </si>
  <si>
    <t>ORD-10384</t>
  </si>
  <si>
    <t>ORD-10317</t>
  </si>
  <si>
    <t>ORD-10268</t>
  </si>
  <si>
    <t>ORD-10236</t>
  </si>
  <si>
    <t>ORD-10609</t>
  </si>
  <si>
    <t>ORD-10456</t>
  </si>
  <si>
    <t>ORD-10062</t>
  </si>
  <si>
    <t>ORD-10566</t>
  </si>
  <si>
    <t>ORD-10123</t>
  </si>
  <si>
    <t>ORD-10491</t>
  </si>
  <si>
    <t>ORD-10340</t>
  </si>
  <si>
    <t>ORD-10524</t>
  </si>
  <si>
    <t>ORD-10251</t>
  </si>
  <si>
    <t>ORD-10133</t>
  </si>
  <si>
    <t>ORD-10038</t>
  </si>
  <si>
    <t>ORD-10197</t>
  </si>
  <si>
    <t>ORD-10639</t>
  </si>
  <si>
    <t>ORD-10362</t>
  </si>
  <si>
    <t>ORD-10650</t>
  </si>
  <si>
    <t>ORD-10354</t>
  </si>
  <si>
    <t>ORD-10168</t>
  </si>
  <si>
    <t>ORD-10084</t>
  </si>
  <si>
    <t>ORD-10079</t>
  </si>
  <si>
    <t>ORD-10638</t>
  </si>
  <si>
    <t>ORD-10169</t>
  </si>
  <si>
    <t>ORD-10009</t>
  </si>
  <si>
    <t>ORD-10239</t>
  </si>
  <si>
    <t>ORD-10523</t>
  </si>
  <si>
    <t>ORD-10036</t>
  </si>
  <si>
    <t>ORD-10459</t>
  </si>
  <si>
    <t>ORD-10556</t>
  </si>
  <si>
    <t>ORD-10519</t>
  </si>
  <si>
    <t>ORD-10173</t>
  </si>
  <si>
    <t>ORD-10421</t>
  </si>
  <si>
    <t>ORD-10306</t>
  </si>
  <si>
    <t>ORD-10541</t>
  </si>
  <si>
    <t>ORD-10302</t>
  </si>
  <si>
    <t>ORD-10344</t>
  </si>
  <si>
    <t>ORD-10455</t>
  </si>
  <si>
    <t>ORD-10174</t>
  </si>
  <si>
    <t>ORD-10630</t>
  </si>
  <si>
    <t>ORD-10096</t>
  </si>
  <si>
    <t>ORD-10056</t>
  </si>
  <si>
    <t>ORD-10357</t>
  </si>
  <si>
    <t>ORD-10046</t>
  </si>
  <si>
    <t>ORD-10196</t>
  </si>
  <si>
    <t>ORD-10543</t>
  </si>
  <si>
    <t>ORD-10540</t>
  </si>
  <si>
    <t>ORD-10576</t>
  </si>
  <si>
    <t>ORD-10216</t>
  </si>
  <si>
    <t>ORD-10118</t>
  </si>
  <si>
    <t>ORD-10180</t>
  </si>
  <si>
    <t>ORD-10244</t>
  </si>
  <si>
    <t>ORD-10637</t>
  </si>
  <si>
    <t>ORD-10308</t>
  </si>
  <si>
    <t>ORD-10140</t>
  </si>
  <si>
    <t>ORD-10170</t>
  </si>
  <si>
    <t>ORD-10337</t>
  </si>
  <si>
    <t>ORD-10475</t>
  </si>
  <si>
    <t>ORD-10138</t>
  </si>
  <si>
    <t>ORD-10588</t>
  </si>
  <si>
    <t>ORD-10409</t>
  </si>
  <si>
    <t>ORD-10532</t>
  </si>
  <si>
    <t>ORD-10582</t>
  </si>
  <si>
    <t>ORD-10571</t>
  </si>
  <si>
    <t>ORD-10117</t>
  </si>
  <si>
    <t>ORD-10528</t>
  </si>
  <si>
    <t>ORD-10166</t>
  </si>
  <si>
    <t>ORD-10129</t>
  </si>
  <si>
    <t>ORD-10539</t>
  </si>
  <si>
    <t>ORD-10176</t>
  </si>
  <si>
    <t>ORD-10049</t>
  </si>
  <si>
    <t>ORD-10370</t>
  </si>
  <si>
    <t>ORD-10414</t>
  </si>
  <si>
    <t>ORD-10219</t>
  </si>
  <si>
    <t>ORD-10226</t>
  </si>
  <si>
    <t>ORD-10283</t>
  </si>
  <si>
    <t>ORD-10029</t>
  </si>
  <si>
    <t>ORD-10358</t>
  </si>
  <si>
    <t>ORD-10533</t>
  </si>
  <si>
    <t>ORD-10122</t>
  </si>
  <si>
    <t>ORD-10042</t>
  </si>
  <si>
    <t>ORD-10364</t>
  </si>
  <si>
    <t>ORD-10259</t>
  </si>
  <si>
    <t>ORD-10434</t>
  </si>
  <si>
    <t>ORD-10311</t>
  </si>
  <si>
    <t>ORD-10464</t>
  </si>
  <si>
    <t>ORD-10105</t>
  </si>
  <si>
    <t>ORD-10185</t>
  </si>
  <si>
    <t>ORD-10318</t>
  </si>
  <si>
    <t>ORD-10043</t>
  </si>
  <si>
    <t>ORD-10575</t>
  </si>
  <si>
    <t>ORD-10586</t>
  </si>
  <si>
    <t>ORD-10453</t>
  </si>
  <si>
    <t>ORD-10229</t>
  </si>
  <si>
    <t>ORD-10324</t>
  </si>
  <si>
    <t>ORD-10601</t>
  </si>
  <si>
    <t>ORD-10521</t>
  </si>
  <si>
    <t>ORD-10070</t>
  </si>
  <si>
    <t>ORD-10579</t>
  </si>
  <si>
    <t>ORD-10547</t>
  </si>
  <si>
    <t>ORD-10500</t>
  </si>
  <si>
    <t>ORD-10589</t>
  </si>
  <si>
    <t>ORD-10616</t>
  </si>
  <si>
    <t>ORD-10286</t>
  </si>
  <si>
    <t>ORD-10633</t>
  </si>
  <si>
    <t>ORD-10339</t>
  </si>
  <si>
    <t>ORD-10359</t>
  </si>
  <si>
    <t>ORD-10016</t>
  </si>
  <si>
    <t>ORD-10522</t>
  </si>
  <si>
    <t>ORD-10090</t>
  </si>
  <si>
    <t>ORD-10446</t>
  </si>
  <si>
    <t>ORD-10165</t>
  </si>
  <si>
    <t>ORD-10404</t>
  </si>
  <si>
    <t>ORD-10245</t>
  </si>
  <si>
    <t>ORD-10531</t>
  </si>
  <si>
    <t>ORD-10499</t>
  </si>
  <si>
    <t>ORD-10377</t>
  </si>
  <si>
    <t>ORD-10293</t>
  </si>
  <si>
    <t>ORD-10592</t>
  </si>
  <si>
    <t>ORD-10202</t>
  </si>
  <si>
    <t>ORD-10513</t>
  </si>
  <si>
    <t>ORD-10040</t>
  </si>
  <si>
    <t>ORD-10075</t>
  </si>
  <si>
    <t>ORD-10504</t>
  </si>
  <si>
    <t>ORD-10643</t>
  </si>
  <si>
    <t>ORD-10551</t>
  </si>
  <si>
    <t>ORD-10053</t>
  </si>
  <si>
    <t>ORD-10195</t>
  </si>
  <si>
    <t>ORD-10058</t>
  </si>
  <si>
    <t>ORD-10514</t>
  </si>
  <si>
    <t>ORD-10431</t>
  </si>
  <si>
    <t>ORD-10345</t>
  </si>
  <si>
    <t>ORD-10106</t>
  </si>
  <si>
    <t>ORD-10562</t>
  </si>
  <si>
    <t>ORD-10050</t>
  </si>
  <si>
    <t>ORD-10151</t>
  </si>
  <si>
    <t>ORD-10410</t>
  </si>
  <si>
    <t>ORD-10240</t>
  </si>
  <si>
    <t>ORD-10102</t>
  </si>
  <si>
    <t>ORD-10107</t>
  </si>
  <si>
    <t>ORD-10004</t>
  </si>
  <si>
    <t>ORD-10336</t>
  </si>
  <si>
    <t>ORD-10135</t>
  </si>
  <si>
    <t>ORD-10179</t>
  </si>
  <si>
    <t>ORD-10525</t>
  </si>
  <si>
    <t>ORD-10581</t>
  </si>
  <si>
    <t>ORD-10253</t>
  </si>
  <si>
    <t>ORD-10098</t>
  </si>
  <si>
    <t>ORD-10233</t>
  </si>
  <si>
    <t>ORD-10597</t>
  </si>
  <si>
    <t>ORD-10026</t>
  </si>
  <si>
    <t>ORD-10520</t>
  </si>
  <si>
    <t>ORD-10130</t>
  </si>
  <si>
    <t>ORD-10408</t>
  </si>
  <si>
    <t>ORD-10632</t>
  </si>
  <si>
    <t>ORD-10304</t>
  </si>
  <si>
    <t>ORD-10398</t>
  </si>
  <si>
    <t>ORD-10294</t>
  </si>
  <si>
    <t>ORD-10067</t>
  </si>
  <si>
    <t>ORD-10099</t>
  </si>
  <si>
    <t>ORD-10442</t>
  </si>
  <si>
    <t>ORD-10595</t>
  </si>
  <si>
    <t>ORD-10624</t>
  </si>
  <si>
    <t>ORD-10644</t>
  </si>
  <si>
    <t>ORD-10204</t>
  </si>
  <si>
    <t>ORD-10023</t>
  </si>
  <si>
    <t>ORD-10557</t>
  </si>
  <si>
    <t>ORD-10257</t>
  </si>
  <si>
    <t>ORD-10128</t>
  </si>
  <si>
    <t>ORD-10181</t>
  </si>
  <si>
    <t>ORD-10469</t>
  </si>
  <si>
    <t>ORD-10260</t>
  </si>
  <si>
    <t>ORD-10580</t>
  </si>
  <si>
    <t>ORD-10572</t>
  </si>
  <si>
    <t>ORD-10552</t>
  </si>
  <si>
    <t>ORD-10008</t>
  </si>
  <si>
    <t>ORD-10430</t>
  </si>
  <si>
    <t>ORD-10208</t>
  </si>
  <si>
    <t>ORD-10587</t>
  </si>
  <si>
    <t>ORD-10149</t>
  </si>
  <si>
    <t>ORD-10035</t>
  </si>
  <si>
    <t>ORD-10498</t>
  </si>
  <si>
    <t>ORD-10355</t>
  </si>
  <si>
    <t>ORD-10537</t>
  </si>
  <si>
    <t>ORD-10584</t>
  </si>
  <si>
    <t>ORD-10356</t>
  </si>
  <si>
    <t>ORD-10119</t>
  </si>
  <si>
    <t>ORD-10028</t>
  </si>
  <si>
    <t>ORD-10161</t>
  </si>
  <si>
    <t>ORD-10440</t>
  </si>
  <si>
    <t>ORD-10120</t>
  </si>
  <si>
    <t>ORD-10378</t>
  </si>
  <si>
    <t>ORD-10215</t>
  </si>
  <si>
    <t>ORD-10284</t>
  </si>
  <si>
    <t>ORD-10614</t>
  </si>
  <si>
    <t>ORD-10561</t>
  </si>
  <si>
    <t>ORD-10190</t>
  </si>
  <si>
    <t>ORD-10048</t>
  </si>
  <si>
    <t>ORD-10088</t>
  </si>
  <si>
    <t>ORD-10495</t>
  </si>
  <si>
    <t>ORD-10489</t>
  </si>
  <si>
    <t>ORD-10312</t>
  </si>
  <si>
    <t>ORD-10387</t>
  </si>
  <si>
    <t>ORD-10073</t>
  </si>
  <si>
    <t>ORD-10433</t>
  </si>
  <si>
    <t>ORD-10150</t>
  </si>
  <si>
    <t>ORD-10485</t>
  </si>
  <si>
    <t>ORD-10076</t>
  </si>
  <si>
    <t>ORD-10015</t>
  </si>
  <si>
    <t>ORD-10206</t>
  </si>
  <si>
    <t>ORD-10303</t>
  </si>
  <si>
    <t>ORD-10010</t>
  </si>
  <si>
    <t>ORD-10649</t>
  </si>
  <si>
    <t>ORD-10646</t>
  </si>
  <si>
    <t>ORD-10506</t>
  </si>
  <si>
    <t>ORD-10602</t>
  </si>
  <si>
    <t>ORD-10145</t>
  </si>
  <si>
    <t>ORD-10610</t>
  </si>
  <si>
    <t>ORD-10186</t>
  </si>
  <si>
    <t>ORD-10027</t>
  </si>
  <si>
    <t>ORD-10401</t>
  </si>
  <si>
    <t>ORD-10593</t>
  </si>
  <si>
    <t>ORD-10218</t>
  </si>
  <si>
    <t>ORD-10413</t>
  </si>
  <si>
    <t>ORD-10371</t>
  </si>
  <si>
    <t>ORD-10373</t>
  </si>
  <si>
    <t>ORD-10635</t>
  </si>
  <si>
    <t>ORD-10415</t>
  </si>
  <si>
    <t>ORD-10484</t>
  </si>
  <si>
    <t>ORD-10460</t>
  </si>
  <si>
    <t>ORD-10078</t>
  </si>
  <si>
    <t>ORD-10390</t>
  </si>
  <si>
    <t>ORD-10611</t>
  </si>
  <si>
    <t>ORD-10154</t>
  </si>
  <si>
    <t>ORD-10603</t>
  </si>
  <si>
    <t>ORD-10093</t>
  </si>
  <si>
    <t>ORD-10636</t>
  </si>
  <si>
    <t>ORD-10064</t>
  </si>
  <si>
    <t>ORD-10162</t>
  </si>
  <si>
    <t>ORD-10225</t>
  </si>
  <si>
    <t>ORD-10481</t>
  </si>
  <si>
    <t>ORD-10114</t>
  </si>
  <si>
    <t>ORD-10351</t>
  </si>
  <si>
    <t>ORD-10212</t>
  </si>
  <si>
    <t>ORD-10427</t>
  </si>
  <si>
    <t>ORD-10125</t>
  </si>
  <si>
    <t>ORD-10338</t>
  </si>
  <si>
    <t>ORD-10501</t>
  </si>
  <si>
    <t>ORD-10374</t>
  </si>
  <si>
    <t>ORD-10641</t>
  </si>
  <si>
    <t>ORD-10211</t>
  </si>
  <si>
    <t>ORD-10607</t>
  </si>
  <si>
    <t>ORD-10210</t>
  </si>
  <si>
    <t>ORD-10425</t>
  </si>
  <si>
    <t>ORD-10116</t>
  </si>
  <si>
    <t>ORD-10192</t>
  </si>
  <si>
    <t>ORD-10242</t>
  </si>
  <si>
    <t>ORD-10392</t>
  </si>
  <si>
    <t>ORD-10341</t>
  </si>
  <si>
    <t>ORD-10272</t>
  </si>
  <si>
    <t>ORD-10069</t>
  </si>
  <si>
    <t>ORD-10487</t>
  </si>
  <si>
    <t>ORD-10403</t>
  </si>
  <si>
    <t>ORD-10496</t>
  </si>
  <si>
    <t>ORD-10228</t>
  </si>
  <si>
    <t>ORD-10331</t>
  </si>
  <si>
    <t>ORD-10605</t>
  </si>
  <si>
    <t>ORD-10406</t>
  </si>
  <si>
    <t>ORD-10039</t>
  </si>
  <si>
    <t>ORD-10074</t>
  </si>
  <si>
    <t>ORD-10205</t>
  </si>
  <si>
    <t>ORD-10479</t>
  </si>
  <si>
    <t>ORD-10423</t>
  </si>
  <si>
    <t>ORD-10329</t>
  </si>
  <si>
    <t>ORD-10024</t>
  </si>
  <si>
    <t>ORD-10538</t>
  </si>
  <si>
    <t>ORD-10389</t>
  </si>
  <si>
    <t>ORD-10209</t>
  </si>
  <si>
    <t>ORD-10429</t>
  </si>
  <si>
    <t>ORD-10252</t>
  </si>
  <si>
    <t>ORD-10006</t>
  </si>
  <si>
    <t>ORD-10319</t>
  </si>
  <si>
    <t>ORD-10250</t>
  </si>
  <si>
    <t>ORD-10640</t>
  </si>
  <si>
    <t>ORD-10037</t>
  </si>
  <si>
    <t>ORD-10343</t>
  </si>
  <si>
    <t>ORD-10203</t>
  </si>
  <si>
    <t>ORD-10068</t>
  </si>
  <si>
    <t>ORD-10569</t>
  </si>
  <si>
    <t>ORD-10263</t>
  </si>
  <si>
    <t>ORD-10407</t>
  </si>
  <si>
    <t>ORD-10400</t>
  </si>
  <si>
    <t>ORD-10394</t>
  </si>
  <si>
    <t>ORD-10618</t>
  </si>
  <si>
    <t>ORD-10647</t>
  </si>
  <si>
    <t>ORD-10136</t>
  </si>
  <si>
    <t>ORD-10544</t>
  </si>
  <si>
    <t>ORD-10465</t>
  </si>
  <si>
    <t>ORD-10278</t>
  </si>
  <si>
    <t>ORD-10386</t>
  </si>
  <si>
    <t>ORD-10365</t>
  </si>
  <si>
    <t>ORD-10596</t>
  </si>
  <si>
    <t>ORD-10466</t>
  </si>
  <si>
    <t>ORD-10502</t>
  </si>
  <si>
    <t>ORD-10163</t>
  </si>
  <si>
    <t>ORD-10261</t>
  </si>
  <si>
    <t>ORD-10059</t>
  </si>
  <si>
    <t>ORD-10193</t>
  </si>
  <si>
    <t>ORD-10322</t>
  </si>
  <si>
    <t>ORD-10255</t>
  </si>
  <si>
    <t>ORD-10546</t>
  </si>
  <si>
    <t>ORD-10089</t>
  </si>
  <si>
    <t>ORD-10591</t>
  </si>
  <si>
    <t>ORD-10511</t>
  </si>
  <si>
    <t>ORD-10563</t>
  </si>
  <si>
    <t>ORD-10005</t>
  </si>
  <si>
    <t>ORD-10146</t>
  </si>
  <si>
    <t>ORD-10438</t>
  </si>
  <si>
    <t>ORD-10044</t>
  </si>
  <si>
    <t>ORD-10450</t>
  </si>
  <si>
    <t>ORD-10477</t>
  </si>
  <si>
    <t>ORD-10087</t>
  </si>
  <si>
    <t>ORD-10279</t>
  </si>
  <si>
    <t>ORD-10232</t>
  </si>
  <si>
    <t>ORD-10267</t>
  </si>
  <si>
    <t>ORD-10492</t>
  </si>
  <si>
    <t>ORD-10350</t>
  </si>
  <si>
    <t>ORD-10108</t>
  </si>
  <si>
    <t>ORD-10474</t>
  </si>
  <si>
    <t>ORD-10560</t>
  </si>
  <si>
    <t>ORD-10002</t>
  </si>
  <si>
    <t>ORD-10095</t>
  </si>
  <si>
    <t>ORD-10334</t>
  </si>
  <si>
    <t>ORD-10285</t>
  </si>
  <si>
    <t>ORD-10376</t>
  </si>
  <si>
    <t>ORD-10289</t>
  </si>
  <si>
    <t>ORD-10018</t>
  </si>
  <si>
    <t>ORD-10393</t>
  </si>
  <si>
    <t>ORD-10508</t>
  </si>
  <si>
    <t>ORD-10449</t>
  </si>
  <si>
    <t>ORD-10077</t>
  </si>
  <si>
    <t>ORD-10276</t>
  </si>
  <si>
    <t>ORD-10577</t>
  </si>
  <si>
    <t>Order ID</t>
  </si>
  <si>
    <t>Order Date</t>
  </si>
  <si>
    <t>Sales Channel</t>
  </si>
  <si>
    <t>Customer Type</t>
  </si>
  <si>
    <t>Unit Price INR</t>
  </si>
  <si>
    <t>Payment Method</t>
  </si>
  <si>
    <t>Order Status</t>
  </si>
  <si>
    <t>Gross Sales INR</t>
  </si>
  <si>
    <t>Discount Amount INR</t>
  </si>
  <si>
    <t>Net Sales INR</t>
  </si>
  <si>
    <t>Delivery Days</t>
  </si>
  <si>
    <t>Sales Month</t>
  </si>
  <si>
    <t>Unknown</t>
  </si>
  <si>
    <t xml:space="preserve">Total Net Sales </t>
  </si>
  <si>
    <t>Sum of Net Sales INR</t>
  </si>
  <si>
    <t>Total orders</t>
  </si>
  <si>
    <t>Net Sales By Region</t>
  </si>
  <si>
    <t>Average order value</t>
  </si>
  <si>
    <t>East Total</t>
  </si>
  <si>
    <t>Grand Total</t>
  </si>
  <si>
    <t>Net sales by product</t>
  </si>
  <si>
    <t>North Total</t>
  </si>
  <si>
    <t>South Total</t>
  </si>
  <si>
    <t>Count of Order ID</t>
  </si>
  <si>
    <t>West Total</t>
  </si>
  <si>
    <t>Cancellation rate</t>
  </si>
  <si>
    <t>Return rate</t>
  </si>
  <si>
    <t>KEY PERFORMANCE AREAS</t>
  </si>
  <si>
    <t>TOTAL NET SALES</t>
  </si>
  <si>
    <t>TOTAL ORDERS</t>
  </si>
  <si>
    <t>AVERAGE ORDER VALUE</t>
  </si>
  <si>
    <t>CANCELLATION RATE</t>
  </si>
  <si>
    <t>RETURN RATE</t>
  </si>
  <si>
    <t>KEY INSIGHTS</t>
  </si>
  <si>
    <t>1. Electronics dominates sales</t>
  </si>
  <si>
    <r>
      <t xml:space="preserve">Electronics generated approximately </t>
    </r>
    <r>
      <rPr>
        <b/>
        <sz val="11"/>
        <color theme="1"/>
        <rFont val="Calibri"/>
        <family val="2"/>
        <scheme val="minor"/>
      </rPr>
      <t>77.8% of total net sales</t>
    </r>
    <r>
      <rPr>
        <sz val="11"/>
        <color theme="1"/>
        <rFont val="Calibri"/>
        <family val="2"/>
        <scheme val="minor"/>
      </rPr>
      <t>, making it by far the largest revenue-driving category.</t>
    </r>
  </si>
  <si>
    <t>2. South is the strongest region</t>
  </si>
  <si>
    <r>
      <t xml:space="preserve">South generated approximately </t>
    </r>
    <r>
      <rPr>
        <b/>
        <sz val="11"/>
        <color theme="1"/>
        <rFont val="Calibri"/>
        <family val="2"/>
        <scheme val="minor"/>
      </rPr>
      <t>40.6% of total net sales</t>
    </r>
    <r>
      <rPr>
        <sz val="11"/>
        <color theme="1"/>
        <rFont val="Calibri"/>
        <family val="2"/>
        <scheme val="minor"/>
      </rPr>
      <t>, the highest among the four regions.</t>
    </r>
  </si>
  <si>
    <t>3. Online is the leading sales channel</t>
  </si>
  <si>
    <r>
      <t xml:space="preserve">Online generated approximately </t>
    </r>
    <r>
      <rPr>
        <b/>
        <sz val="11"/>
        <color theme="1"/>
        <rFont val="Calibri"/>
        <family val="2"/>
        <scheme val="minor"/>
      </rPr>
      <t>46.8% of total net sales</t>
    </r>
    <r>
      <rPr>
        <sz val="11"/>
        <color theme="1"/>
        <rFont val="Calibri"/>
        <family val="2"/>
        <scheme val="minor"/>
      </rPr>
      <t>, ahead of Retail Store and Corporate.</t>
    </r>
  </si>
  <si>
    <t>4. March 2026 was the strongest month</t>
  </si>
  <si>
    <r>
      <t xml:space="preserve">March 2026 generated approximately </t>
    </r>
    <r>
      <rPr>
        <b/>
        <sz val="11"/>
        <color theme="1"/>
        <rFont val="Calibri"/>
        <family val="2"/>
        <scheme val="minor"/>
      </rPr>
      <t>₹2.87M</t>
    </r>
    <r>
      <rPr>
        <sz val="11"/>
        <color theme="1"/>
        <rFont val="Calibri"/>
        <family val="2"/>
        <scheme val="minor"/>
      </rPr>
      <t>, the highest monthly net sales in the dataset.</t>
    </r>
  </si>
  <si>
    <t>Retail Sales Performance Analysis Project</t>
  </si>
  <si>
    <t>Excel | Data Cleaning | PivotTables | Data Visualization</t>
  </si>
  <si>
    <t>PROJECT OBJECTIVE</t>
  </si>
  <si>
    <t>Analyze retail sales data to understand revenue performance, 
customer orders, product categories, sales channels, 
regional performance, and order outcomes using Excel.</t>
  </si>
  <si>
    <t>BUSINESS QUESTIONS</t>
  </si>
  <si>
    <t>How much net sales did the business generate?</t>
  </si>
  <si>
    <t>Which regions generate the most revenue?</t>
  </si>
  <si>
    <t>Which product categories drive sales?</t>
  </si>
  <si>
    <t>Which sales channel performs best?</t>
  </si>
  <si>
    <t>How has sales performance changed over time?</t>
  </si>
  <si>
    <t>What proportion of orders are cancelled or returned?</t>
  </si>
  <si>
    <t>DATASET</t>
  </si>
  <si>
    <r>
      <rPr>
        <sz val="11"/>
        <color rgb="FF000000"/>
        <rFont val="Calibri"/>
        <scheme val="minor"/>
      </rPr>
      <t xml:space="preserve">The dataset contains </t>
    </r>
    <r>
      <rPr>
        <b/>
        <sz val="11"/>
        <color rgb="FF000000"/>
        <rFont val="Calibri"/>
        <scheme val="minor"/>
      </rPr>
      <t>650 retail orders</t>
    </r>
    <r>
      <rPr>
        <sz val="11"/>
        <color rgb="FF000000"/>
        <rFont val="Calibri"/>
        <scheme val="minor"/>
      </rPr>
      <t xml:space="preserve"> covering </t>
    </r>
    <r>
      <rPr>
        <b/>
        <sz val="11"/>
        <color rgb="FF000000"/>
        <rFont val="Calibri"/>
        <scheme val="minor"/>
      </rPr>
      <t>July 2025 to June 2026</t>
    </r>
    <r>
      <rPr>
        <sz val="11"/>
        <color rgb="FF000000"/>
        <rFont val="Calibri"/>
        <scheme val="minor"/>
      </rPr>
      <t>.
It includes information on orders, customers, products, regions, 
sales channels, order status, sales values, and delivery details.</t>
    </r>
  </si>
  <si>
    <r>
      <t>Rows:</t>
    </r>
    <r>
      <rPr>
        <sz val="11"/>
        <color theme="1"/>
        <rFont val="Calibri"/>
        <family val="2"/>
        <scheme val="minor"/>
      </rPr>
      <t xml:space="preserve"> 650 orders</t>
    </r>
  </si>
  <si>
    <r>
      <t>Columns:</t>
    </r>
    <r>
      <rPr>
        <sz val="11"/>
        <color theme="1"/>
        <rFont val="Calibri"/>
        <family val="2"/>
        <scheme val="minor"/>
      </rPr>
      <t xml:space="preserve"> 18 original fields</t>
    </r>
  </si>
  <si>
    <r>
      <t>Time period:</t>
    </r>
    <r>
      <rPr>
        <sz val="11"/>
        <color theme="1"/>
        <rFont val="Calibri"/>
        <family val="2"/>
        <scheme val="minor"/>
      </rPr>
      <t xml:space="preserve"> July 2025 – June 2026</t>
    </r>
  </si>
  <si>
    <t>TOOLS &amp; TECHNIQUES USED</t>
  </si>
  <si>
    <t>• Microsoft Excel</t>
  </si>
  <si>
    <t>• Data Cleaning</t>
  </si>
  <si>
    <t>• Excel Tables</t>
  </si>
  <si>
    <t>• PivotTables</t>
  </si>
  <si>
    <t>• PivotCharts</t>
  </si>
  <si>
    <t>• Excel formulas</t>
  </si>
  <si>
    <t>• Data visualization</t>
  </si>
  <si>
    <t>• KPI analysis</t>
  </si>
  <si>
    <t>DATA CLEANING</t>
  </si>
  <si>
    <t>The raw dataset was preserved separately before analysis. A cleaned version
 was created to prepare the data for analysis. Duplicate records were removed, data was checked for blanks and inconsistencies, and a sales month colunm was created to support monthly trend analysis</t>
  </si>
  <si>
    <t>KEY FINDINGS</t>
  </si>
  <si>
    <t>1. Electronics is the primary revenue driver</t>
  </si>
  <si>
    <r>
      <rPr>
        <sz val="11"/>
        <color rgb="FF000000"/>
        <rFont val="Calibri"/>
        <scheme val="minor"/>
      </rPr>
      <t xml:space="preserve">Electronics generated approximately </t>
    </r>
    <r>
      <rPr>
        <b/>
        <sz val="11"/>
        <color rgb="FF000000"/>
        <rFont val="Calibri"/>
        <scheme val="minor"/>
      </rPr>
      <t>77.8% of total net sales</t>
    </r>
    <r>
      <rPr>
        <sz val="11"/>
        <color rgb="FF000000"/>
        <rFont val="Calibri"/>
        <scheme val="minor"/>
      </rPr>
      <t>, making it the 
largest contributor among the product categories.</t>
    </r>
  </si>
  <si>
    <t>2. South is the strongest-performing region</t>
  </si>
  <si>
    <r>
      <rPr>
        <sz val="11"/>
        <color rgb="FF000000"/>
        <rFont val="Calibri"/>
        <scheme val="minor"/>
      </rPr>
      <t xml:space="preserve">South contributed approximately </t>
    </r>
    <r>
      <rPr>
        <b/>
        <sz val="11"/>
        <color rgb="FF000000"/>
        <rFont val="Calibri"/>
        <scheme val="minor"/>
      </rPr>
      <t>40.6% of total net sales</t>
    </r>
    <r>
      <rPr>
        <sz val="11"/>
        <color rgb="FF000000"/>
        <rFont val="Calibri"/>
        <scheme val="minor"/>
      </rPr>
      <t>, making it the
 highest-performing region.</t>
    </r>
  </si>
  <si>
    <r>
      <rPr>
        <sz val="11"/>
        <color rgb="FF000000"/>
        <rFont val="Calibri"/>
        <scheme val="minor"/>
      </rPr>
      <t xml:space="preserve">Online sales accounted for approximately </t>
    </r>
    <r>
      <rPr>
        <b/>
        <sz val="11"/>
        <color rgb="FF000000"/>
        <rFont val="Calibri"/>
        <scheme val="minor"/>
      </rPr>
      <t>46.8% of total net sales</t>
    </r>
    <r>
      <rPr>
        <sz val="11"/>
        <color rgb="FF000000"/>
        <rFont val="Calibri"/>
        <scheme val="minor"/>
      </rPr>
      <t>,
 making it the largest sales channel.</t>
    </r>
  </si>
  <si>
    <t>4. Sales varied considerably across the year</t>
  </si>
  <si>
    <r>
      <rPr>
        <sz val="11"/>
        <color rgb="FF000000"/>
        <rFont val="Calibri"/>
        <scheme val="minor"/>
      </rPr>
      <t xml:space="preserve">Monthly sales fluctuated throughout the July 2025–June 2026 period,
 with </t>
    </r>
    <r>
      <rPr>
        <b/>
        <sz val="11"/>
        <color rgb="FF000000"/>
        <rFont val="Calibri"/>
        <scheme val="minor"/>
      </rPr>
      <t>March 2026 recording the highest monthly sales</t>
    </r>
    <r>
      <rPr>
        <sz val="11"/>
        <color rgb="FF000000"/>
        <rFont val="Calibri"/>
        <scheme val="minor"/>
      </rPr>
      <t>.</t>
    </r>
  </si>
  <si>
    <t>5. Most orders were successfully delivered</t>
  </si>
  <si>
    <r>
      <rPr>
        <sz val="11"/>
        <color rgb="FF000000"/>
        <rFont val="Calibri"/>
        <scheme val="minor"/>
      </rPr>
      <t xml:space="preserve">Out of </t>
    </r>
    <r>
      <rPr>
        <b/>
        <sz val="11"/>
        <color rgb="FF000000"/>
        <rFont val="Calibri"/>
        <scheme val="minor"/>
      </rPr>
      <t>650 orders</t>
    </r>
    <r>
      <rPr>
        <sz val="11"/>
        <color rgb="FF000000"/>
        <rFont val="Calibri"/>
        <scheme val="minor"/>
      </rPr>
      <t xml:space="preserve">, 616 were delivered, 21 were cancelled, and 13 were
returned. This corresponds to a </t>
    </r>
    <r>
      <rPr>
        <b/>
        <sz val="11"/>
        <color rgb="FF000000"/>
        <rFont val="Calibri"/>
        <scheme val="minor"/>
      </rPr>
      <t>94.8% delivery rate</t>
    </r>
    <r>
      <rPr>
        <sz val="11"/>
        <color rgb="FF000000"/>
        <rFont val="Calibri"/>
        <scheme val="minor"/>
      </rPr>
      <t xml:space="preserve">, </t>
    </r>
    <r>
      <rPr>
        <b/>
        <sz val="11"/>
        <color rgb="FF000000"/>
        <rFont val="Calibri"/>
        <scheme val="minor"/>
      </rPr>
      <t>3.2% cancellation rate</t>
    </r>
    <r>
      <rPr>
        <sz val="11"/>
        <color rgb="FF000000"/>
        <rFont val="Calibri"/>
        <scheme val="minor"/>
      </rPr>
      <t xml:space="preserve">,
 and </t>
    </r>
    <r>
      <rPr>
        <b/>
        <sz val="11"/>
        <color rgb="FF000000"/>
        <rFont val="Calibri"/>
        <scheme val="minor"/>
      </rPr>
      <t>2.0% return rate</t>
    </r>
    <r>
      <rPr>
        <sz val="11"/>
        <color rgb="FF000000"/>
        <rFont val="Calibri"/>
        <scheme val="minor"/>
      </rPr>
      <t>.</t>
    </r>
  </si>
  <si>
    <t>BUSINESS RECOMMENDATIONS</t>
  </si>
  <si>
    <t>1. Prioritize Electronics inventory and availability</t>
  </si>
  <si>
    <t>Since electrnoics contributes the majority of revenue, maintaining sufficient inventory and reducing stockouts in this category could protect overall sales.</t>
  </si>
  <si>
    <t>2. Investigate the South region's performance</t>
  </si>
  <si>
    <t>South generates the highest revenue. Comparing its product mix, customer
 behavior, and sales channels with weaker regions could reveal practices
 worth replicating.</t>
  </si>
  <si>
    <t>3. Strengthen the Online channel</t>
  </si>
  <si>
    <t>Online is the largest sales channel. Analyzing its best-selling categories
 and monthly performance could help identify opportunities for further growth.</t>
  </si>
  <si>
    <t>4. Monitor cancelled and returned orders</t>
  </si>
  <si>
    <t>Although cancellation and return rates are relatively low, tracking the reasons 
behind these orders could identify operational or product-related issues.</t>
  </si>
  <si>
    <t>LIMITATIONS</t>
  </si>
  <si>
    <t>This analysis is based on the available dataset and focuses on descriptive sales
 performance. It does not include customer feedback, marketing spend,
 inventory availability, profit margins, or the reasons behind cancellations
 and returns. Therefore, the findings identify patterns but do not establish
 the causes behind them.</t>
  </si>
  <si>
    <t>PROJECT OUTCOME</t>
  </si>
  <si>
    <t>This project helped me practice the complete Excel analytics workflow: 
preparing raw data, cleaning and validating the dataset, creating calculated 
fields, analyzing data with PivotTables, building KPIs and visualizations, 
and turning the results into a business dashboard.</t>
  </si>
  <si>
    <t>Key Excel skills demonstrated:</t>
  </si>
  <si>
    <t>Data cleaning</t>
  </si>
  <si>
    <t>Excel Tables</t>
  </si>
  <si>
    <t>SUM</t>
  </si>
  <si>
    <t>COUNTA</t>
  </si>
  <si>
    <t>COUNTIF</t>
  </si>
  <si>
    <t>DATE</t>
  </si>
  <si>
    <t>YEAR</t>
  </si>
  <si>
    <t>MONTH</t>
  </si>
  <si>
    <t>PivotTables</t>
  </si>
  <si>
    <t>PivotCharts</t>
  </si>
  <si>
    <t>KPI development</t>
  </si>
  <si>
    <t>Dashboard design</t>
  </si>
  <si>
    <t>Business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</si>
</sst>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hh:mm:ss"/>
    <numFmt numFmtId="165" formatCode="_ [$₹-439]* #,##0.00_ ;_ [$₹-439]* \-#,##0.00_ ;_ [$₹-439]* &quot;-&quot;??_ ;_ @_ "/>
    <numFmt numFmtId="166" formatCode="[$-409]mmmm\-yy;@"/>
  </numFmts>
  <fonts count="8">
    <font>
      <sz val="11"/>
      <color theme="1"/>
      <name val="Calibri"/>
      <family val="2"/>
      <scheme val="minor"/>
    </font>
    <font>
      <b/>
      <sz val="11"/>
      <name val="Calibri"/>
    </font>
    <font>
      <b/>
      <u/>
      <sz val="11"/>
      <color theme="1"/>
      <name val="Calibri"/>
      <family val="2"/>
      <scheme val="minor"/>
    </font>
    <font>
      <b/>
      <sz val="11"/>
      <color theme="1"/>
      <name val="Calibri"/>
      <family val="2"/>
      <scheme val="minor"/>
    </font>
    <font>
      <b/>
      <u/>
      <sz val="20"/>
      <color theme="1"/>
      <name val="Calibri"/>
      <family val="2"/>
      <scheme val="minor"/>
    </font>
    <font>
      <b/>
      <sz val="12"/>
      <color theme="1"/>
      <name val="Calibri"/>
      <family val="2"/>
      <scheme val="minor"/>
    </font>
    <font>
      <sz val="11"/>
      <color rgb="FF000000"/>
      <name val="Calibri"/>
      <scheme val="minor"/>
    </font>
    <font>
      <b/>
      <sz val="11"/>
      <color rgb="FF000000"/>
      <name val="Calibri"/>
      <scheme val="minor"/>
    </font>
  </fonts>
  <fills count="2">
    <fill>
      <patternFill patternType="none"/>
    </fill>
    <fill>
      <patternFill patternType="gray125"/>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1" fillId="0" borderId="2" xfId="0" applyFont="1" applyBorder="1" applyAlignment="1">
      <alignment horizontal="center" vertical="top"/>
    </xf>
    <xf numFmtId="0" fontId="0" fillId="0" borderId="0" xfId="0" pivotButton="1"/>
    <xf numFmtId="0" fontId="0" fillId="0" borderId="0" xfId="0" applyNumberFormat="1"/>
    <xf numFmtId="0" fontId="3" fillId="0" borderId="0" xfId="0" applyFont="1"/>
    <xf numFmtId="0" fontId="3" fillId="0" borderId="3" xfId="0" applyFont="1" applyBorder="1"/>
    <xf numFmtId="0" fontId="0" fillId="0" borderId="3" xfId="0" applyBorder="1"/>
    <xf numFmtId="165" fontId="0" fillId="0" borderId="3" xfId="0" applyNumberFormat="1" applyBorder="1"/>
    <xf numFmtId="0" fontId="0" fillId="0" borderId="0" xfId="0" applyBorder="1"/>
    <xf numFmtId="165" fontId="0" fillId="0" borderId="0" xfId="0" applyNumberFormat="1" applyBorder="1"/>
    <xf numFmtId="9" fontId="0" fillId="0" borderId="0" xfId="0" applyNumberFormat="1"/>
    <xf numFmtId="166" fontId="1" fillId="0" borderId="2" xfId="0" applyNumberFormat="1" applyFont="1" applyBorder="1" applyAlignment="1">
      <alignment horizontal="center" vertical="top"/>
    </xf>
    <xf numFmtId="166" fontId="0" fillId="0" borderId="0" xfId="0" applyNumberFormat="1"/>
    <xf numFmtId="0" fontId="0" fillId="0" borderId="0" xfId="0" applyFont="1"/>
    <xf numFmtId="0" fontId="0" fillId="0" borderId="0" xfId="0" applyAlignment="1">
      <alignment horizontal="center"/>
    </xf>
    <xf numFmtId="43" fontId="0" fillId="0" borderId="3" xfId="0" applyNumberFormat="1" applyFont="1" applyBorder="1"/>
    <xf numFmtId="0" fontId="0" fillId="0" borderId="3" xfId="0" applyBorder="1" applyAlignment="1">
      <alignment horizontal="center"/>
    </xf>
    <xf numFmtId="43" fontId="0" fillId="0" borderId="3" xfId="0" applyNumberFormat="1" applyBorder="1"/>
    <xf numFmtId="9" fontId="0" fillId="0" borderId="3" xfId="0" applyNumberFormat="1" applyFont="1" applyBorder="1" applyAlignment="1">
      <alignment horizontal="center"/>
    </xf>
    <xf numFmtId="9" fontId="0" fillId="0" borderId="3" xfId="0" applyNumberFormat="1" applyBorder="1" applyAlignment="1">
      <alignment horizontal="center"/>
    </xf>
    <xf numFmtId="0" fontId="0" fillId="0" borderId="4" xfId="0" applyBorder="1"/>
    <xf numFmtId="0" fontId="3" fillId="0" borderId="0" xfId="0" applyFont="1" applyBorder="1"/>
    <xf numFmtId="0" fontId="3" fillId="0" borderId="5" xfId="0" applyFont="1"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2" fillId="0" borderId="0" xfId="0" applyFont="1" applyBorder="1"/>
    <xf numFmtId="0" fontId="4" fillId="0" borderId="0" xfId="0" applyFont="1" applyBorder="1"/>
    <xf numFmtId="0" fontId="5" fillId="0" borderId="0" xfId="0" applyFont="1" applyBorder="1" applyAlignment="1">
      <alignment horizontal="center"/>
    </xf>
    <xf numFmtId="0" fontId="5" fillId="0" borderId="3" xfId="0" applyFont="1" applyBorder="1" applyAlignment="1">
      <alignment horizontal="center"/>
    </xf>
    <xf numFmtId="0" fontId="0" fillId="0" borderId="3" xfId="0" applyBorder="1" applyAlignment="1">
      <alignment horizontal="center" wrapText="1"/>
    </xf>
    <xf numFmtId="0" fontId="6" fillId="0" borderId="3" xfId="0" applyFont="1" applyBorder="1" applyAlignment="1">
      <alignment wrapText="1"/>
    </xf>
    <xf numFmtId="0" fontId="0" fillId="0" borderId="3" xfId="0" applyBorder="1" applyAlignment="1">
      <alignment wrapText="1"/>
    </xf>
    <xf numFmtId="0" fontId="3" fillId="0" borderId="9" xfId="0" applyFont="1" applyBorder="1"/>
    <xf numFmtId="0" fontId="5" fillId="0" borderId="6" xfId="0" applyFont="1" applyBorder="1" applyAlignment="1">
      <alignment horizontal="center"/>
    </xf>
    <xf numFmtId="0" fontId="3" fillId="0" borderId="4" xfId="0" applyFont="1" applyBorder="1"/>
    <xf numFmtId="0" fontId="3" fillId="0" borderId="10" xfId="0" applyFont="1" applyBorder="1"/>
    <xf numFmtId="0" fontId="3" fillId="0" borderId="6" xfId="0" applyFont="1" applyBorder="1" applyAlignment="1">
      <alignment horizontal="center"/>
    </xf>
    <xf numFmtId="0" fontId="0" fillId="0" borderId="11" xfId="0" applyBorder="1"/>
    <xf numFmtId="0" fontId="3" fillId="0" borderId="12" xfId="0" applyFont="1" applyBorder="1"/>
  </cellXfs>
  <cellStyles count="1">
    <cellStyle name="Normal" xfId="0" builtinId="0"/>
  </cellStyles>
  <dxfs count="5">
    <dxf>
      <numFmt numFmtId="166" formatCode="[$-409]mmmm\-yy;@"/>
    </dxf>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P.xlsx]Analysis!PivotTable13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Net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Analysis!$A$33:$A$45</c:f>
              <c:strCache>
                <c:ptCount val="12"/>
                <c:pt idx="0">
                  <c:v>July-25</c:v>
                </c:pt>
                <c:pt idx="1">
                  <c:v>August-25</c:v>
                </c:pt>
                <c:pt idx="2">
                  <c:v>September-25</c:v>
                </c:pt>
                <c:pt idx="3">
                  <c:v>October-25</c:v>
                </c:pt>
                <c:pt idx="4">
                  <c:v>November-25</c:v>
                </c:pt>
                <c:pt idx="5">
                  <c:v>December-25</c:v>
                </c:pt>
                <c:pt idx="6">
                  <c:v>January-26</c:v>
                </c:pt>
                <c:pt idx="7">
                  <c:v>February-26</c:v>
                </c:pt>
                <c:pt idx="8">
                  <c:v>March-26</c:v>
                </c:pt>
                <c:pt idx="9">
                  <c:v>April-26</c:v>
                </c:pt>
                <c:pt idx="10">
                  <c:v>May-26</c:v>
                </c:pt>
                <c:pt idx="11">
                  <c:v>June-26</c:v>
                </c:pt>
              </c:strCache>
            </c:strRef>
          </c:cat>
          <c:val>
            <c:numRef>
              <c:f>Analysis!$B$33:$B$45</c:f>
              <c:numCache>
                <c:formatCode>General</c:formatCode>
                <c:ptCount val="12"/>
                <c:pt idx="0">
                  <c:v>2445250.6999999997</c:v>
                </c:pt>
                <c:pt idx="1">
                  <c:v>1299864.5</c:v>
                </c:pt>
                <c:pt idx="2">
                  <c:v>1267369.1000000003</c:v>
                </c:pt>
                <c:pt idx="3">
                  <c:v>1603880.7</c:v>
                </c:pt>
                <c:pt idx="4">
                  <c:v>1501010.0999999999</c:v>
                </c:pt>
                <c:pt idx="5">
                  <c:v>1699782.5</c:v>
                </c:pt>
                <c:pt idx="6">
                  <c:v>1958918.2</c:v>
                </c:pt>
                <c:pt idx="7">
                  <c:v>1120508.8999999999</c:v>
                </c:pt>
                <c:pt idx="8">
                  <c:v>2872539.1999999993</c:v>
                </c:pt>
                <c:pt idx="9">
                  <c:v>1374952.3</c:v>
                </c:pt>
                <c:pt idx="10">
                  <c:v>2113859.5</c:v>
                </c:pt>
                <c:pt idx="11">
                  <c:v>1547599.8</c:v>
                </c:pt>
              </c:numCache>
            </c:numRef>
          </c:val>
          <c:smooth val="0"/>
          <c:extLst>
            <c:ext xmlns:c16="http://schemas.microsoft.com/office/drawing/2014/chart" uri="{C3380CC4-5D6E-409C-BE32-E72D297353CC}">
              <c16:uniqueId val="{00000000-699B-4522-8AEA-1C0F286BB704}"/>
            </c:ext>
          </c:extLst>
        </c:ser>
        <c:dLbls>
          <c:showLegendKey val="0"/>
          <c:showVal val="0"/>
          <c:showCatName val="0"/>
          <c:showSerName val="0"/>
          <c:showPercent val="0"/>
          <c:showBubbleSize val="0"/>
        </c:dLbls>
        <c:marker val="1"/>
        <c:smooth val="0"/>
        <c:axId val="560270855"/>
        <c:axId val="560692231"/>
      </c:lineChart>
      <c:catAx>
        <c:axId val="560270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92231"/>
        <c:crosses val="autoZero"/>
        <c:auto val="1"/>
        <c:lblAlgn val="ctr"/>
        <c:lblOffset val="100"/>
        <c:noMultiLvlLbl val="0"/>
      </c:catAx>
      <c:valAx>
        <c:axId val="560692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270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P.xlsx]Analysis!PivotTable1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Region</a:t>
            </a:r>
          </a:p>
        </c:rich>
      </c:tx>
      <c:layout>
        <c:manualLayout>
          <c:xMode val="edge"/>
          <c:yMode val="edge"/>
          <c:x val="0.37069441901312933"/>
          <c:y val="2.5000042385525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c:v>
                </c:pt>
              </c:strCache>
            </c:strRef>
          </c:tx>
          <c:spPr>
            <a:solidFill>
              <a:schemeClr val="accent1"/>
            </a:solidFill>
            <a:ln>
              <a:noFill/>
            </a:ln>
            <a:effectLst/>
          </c:spPr>
          <c:invertIfNegative val="0"/>
          <c:cat>
            <c:strRef>
              <c:f>Analysis!$A$6:$A$10</c:f>
              <c:strCache>
                <c:ptCount val="4"/>
                <c:pt idx="0">
                  <c:v>East</c:v>
                </c:pt>
                <c:pt idx="1">
                  <c:v>North</c:v>
                </c:pt>
                <c:pt idx="2">
                  <c:v>South</c:v>
                </c:pt>
                <c:pt idx="3">
                  <c:v>West</c:v>
                </c:pt>
              </c:strCache>
            </c:strRef>
          </c:cat>
          <c:val>
            <c:numRef>
              <c:f>Analysis!$B$6:$B$10</c:f>
              <c:numCache>
                <c:formatCode>General</c:formatCode>
                <c:ptCount val="4"/>
                <c:pt idx="0">
                  <c:v>1587261.8</c:v>
                </c:pt>
                <c:pt idx="1">
                  <c:v>3140337.1</c:v>
                </c:pt>
                <c:pt idx="2">
                  <c:v>6643505.4000000013</c:v>
                </c:pt>
                <c:pt idx="3">
                  <c:v>4820276.4999999991</c:v>
                </c:pt>
              </c:numCache>
            </c:numRef>
          </c:val>
          <c:extLst>
            <c:ext xmlns:c16="http://schemas.microsoft.com/office/drawing/2014/chart" uri="{C3380CC4-5D6E-409C-BE32-E72D297353CC}">
              <c16:uniqueId val="{00000000-BE3F-4D70-85ED-F9042A9BEEF2}"/>
            </c:ext>
          </c:extLst>
        </c:ser>
        <c:dLbls>
          <c:showLegendKey val="0"/>
          <c:showVal val="0"/>
          <c:showCatName val="0"/>
          <c:showSerName val="0"/>
          <c:showPercent val="0"/>
          <c:showBubbleSize val="0"/>
        </c:dLbls>
        <c:gapWidth val="219"/>
        <c:overlap val="-27"/>
        <c:axId val="567360007"/>
        <c:axId val="567362567"/>
      </c:barChart>
      <c:catAx>
        <c:axId val="567360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62567"/>
        <c:crosses val="autoZero"/>
        <c:auto val="1"/>
        <c:lblAlgn val="ctr"/>
        <c:lblOffset val="100"/>
        <c:noMultiLvlLbl val="0"/>
      </c:catAx>
      <c:valAx>
        <c:axId val="567362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360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P.xlsx]Analysis!PivotTable2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solidFill>
              <a:schemeClr val="accent1"/>
            </a:solidFill>
            <a:ln>
              <a:noFill/>
            </a:ln>
            <a:effectLst/>
          </c:spPr>
          <c:invertIfNegative val="0"/>
          <c:cat>
            <c:strRef>
              <c:f>Analysis!$A$14:$A$19</c:f>
              <c:strCache>
                <c:ptCount val="5"/>
                <c:pt idx="0">
                  <c:v>Accessories</c:v>
                </c:pt>
                <c:pt idx="1">
                  <c:v>Electronics</c:v>
                </c:pt>
                <c:pt idx="2">
                  <c:v>Furniture</c:v>
                </c:pt>
                <c:pt idx="3">
                  <c:v>Office Equipment</c:v>
                </c:pt>
                <c:pt idx="4">
                  <c:v>Storage</c:v>
                </c:pt>
              </c:strCache>
            </c:strRef>
          </c:cat>
          <c:val>
            <c:numRef>
              <c:f>Analysis!$B$14:$B$19</c:f>
              <c:numCache>
                <c:formatCode>General</c:formatCode>
                <c:ptCount val="5"/>
                <c:pt idx="0">
                  <c:v>777184.8</c:v>
                </c:pt>
                <c:pt idx="1">
                  <c:v>16191380.800000003</c:v>
                </c:pt>
                <c:pt idx="2">
                  <c:v>2412867.4</c:v>
                </c:pt>
                <c:pt idx="3">
                  <c:v>610225.99999999988</c:v>
                </c:pt>
                <c:pt idx="4">
                  <c:v>813876.5</c:v>
                </c:pt>
              </c:numCache>
            </c:numRef>
          </c:val>
          <c:extLst>
            <c:ext xmlns:c16="http://schemas.microsoft.com/office/drawing/2014/chart" uri="{C3380CC4-5D6E-409C-BE32-E72D297353CC}">
              <c16:uniqueId val="{00000000-DA01-4DD8-AF66-DA242A675573}"/>
            </c:ext>
          </c:extLst>
        </c:ser>
        <c:dLbls>
          <c:showLegendKey val="0"/>
          <c:showVal val="0"/>
          <c:showCatName val="0"/>
          <c:showSerName val="0"/>
          <c:showPercent val="0"/>
          <c:showBubbleSize val="0"/>
        </c:dLbls>
        <c:gapWidth val="219"/>
        <c:overlap val="-27"/>
        <c:axId val="559421447"/>
        <c:axId val="564010503"/>
      </c:barChart>
      <c:catAx>
        <c:axId val="559421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10503"/>
        <c:crosses val="autoZero"/>
        <c:auto val="1"/>
        <c:lblAlgn val="ctr"/>
        <c:lblOffset val="100"/>
        <c:noMultiLvlLbl val="0"/>
      </c:catAx>
      <c:valAx>
        <c:axId val="564010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421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P.xlsx]Analysis!PivotTable3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Analysis!$I$6</c:f>
              <c:strCache>
                <c:ptCount val="1"/>
                <c:pt idx="0">
                  <c:v>Total</c:v>
                </c:pt>
              </c:strCache>
            </c:strRef>
          </c:tx>
          <c:spPr>
            <a:solidFill>
              <a:schemeClr val="accent1"/>
            </a:solidFill>
            <a:ln>
              <a:noFill/>
            </a:ln>
            <a:effectLst/>
          </c:spPr>
          <c:invertIfNegative val="0"/>
          <c:cat>
            <c:strRef>
              <c:f>Analysis!$H$7:$H$10</c:f>
              <c:strCache>
                <c:ptCount val="3"/>
                <c:pt idx="0">
                  <c:v>Corporate</c:v>
                </c:pt>
                <c:pt idx="1">
                  <c:v>Online</c:v>
                </c:pt>
                <c:pt idx="2">
                  <c:v>Retail Store</c:v>
                </c:pt>
              </c:strCache>
            </c:strRef>
          </c:cat>
          <c:val>
            <c:numRef>
              <c:f>Analysis!$I$7:$I$10</c:f>
              <c:numCache>
                <c:formatCode>General</c:formatCode>
                <c:ptCount val="3"/>
                <c:pt idx="0">
                  <c:v>3396095.8000000007</c:v>
                </c:pt>
                <c:pt idx="1">
                  <c:v>9729336.700000003</c:v>
                </c:pt>
                <c:pt idx="2">
                  <c:v>7680103.0000000009</c:v>
                </c:pt>
              </c:numCache>
            </c:numRef>
          </c:val>
          <c:extLst>
            <c:ext xmlns:c16="http://schemas.microsoft.com/office/drawing/2014/chart" uri="{C3380CC4-5D6E-409C-BE32-E72D297353CC}">
              <c16:uniqueId val="{00000000-DBC8-4FEC-8FA2-A457CA25EBA0}"/>
            </c:ext>
          </c:extLst>
        </c:ser>
        <c:dLbls>
          <c:showLegendKey val="0"/>
          <c:showVal val="0"/>
          <c:showCatName val="0"/>
          <c:showSerName val="0"/>
          <c:showPercent val="0"/>
          <c:showBubbleSize val="0"/>
        </c:dLbls>
        <c:gapWidth val="219"/>
        <c:overlap val="-27"/>
        <c:axId val="513540103"/>
        <c:axId val="542348807"/>
      </c:barChart>
      <c:catAx>
        <c:axId val="513540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348807"/>
        <c:crosses val="autoZero"/>
        <c:auto val="1"/>
        <c:lblAlgn val="ctr"/>
        <c:lblOffset val="100"/>
        <c:noMultiLvlLbl val="0"/>
      </c:catAx>
      <c:valAx>
        <c:axId val="542348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540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 P.xlsx]Analysis!PivotTable5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Analysis!$B$22</c:f>
              <c:strCache>
                <c:ptCount val="1"/>
                <c:pt idx="0">
                  <c:v>Total</c:v>
                </c:pt>
              </c:strCache>
            </c:strRef>
          </c:tx>
          <c:spPr>
            <a:solidFill>
              <a:schemeClr val="accent1"/>
            </a:solidFill>
            <a:ln>
              <a:noFill/>
            </a:ln>
            <a:effectLst/>
          </c:spPr>
          <c:invertIfNegative val="0"/>
          <c:cat>
            <c:strRef>
              <c:f>Analysis!$A$23:$A$26</c:f>
              <c:strCache>
                <c:ptCount val="3"/>
                <c:pt idx="0">
                  <c:v>Cancelled</c:v>
                </c:pt>
                <c:pt idx="1">
                  <c:v>Delivered</c:v>
                </c:pt>
                <c:pt idx="2">
                  <c:v>Returned</c:v>
                </c:pt>
              </c:strCache>
            </c:strRef>
          </c:cat>
          <c:val>
            <c:numRef>
              <c:f>Analysis!$B$23:$B$26</c:f>
              <c:numCache>
                <c:formatCode>General</c:formatCode>
                <c:ptCount val="3"/>
                <c:pt idx="0">
                  <c:v>21</c:v>
                </c:pt>
                <c:pt idx="1">
                  <c:v>616</c:v>
                </c:pt>
                <c:pt idx="2">
                  <c:v>13</c:v>
                </c:pt>
              </c:numCache>
            </c:numRef>
          </c:val>
          <c:extLst>
            <c:ext xmlns:c16="http://schemas.microsoft.com/office/drawing/2014/chart" uri="{C3380CC4-5D6E-409C-BE32-E72D297353CC}">
              <c16:uniqueId val="{00000000-95B4-43C4-84FE-B6F0F0C722BA}"/>
            </c:ext>
          </c:extLst>
        </c:ser>
        <c:dLbls>
          <c:showLegendKey val="0"/>
          <c:showVal val="0"/>
          <c:showCatName val="0"/>
          <c:showSerName val="0"/>
          <c:showPercent val="0"/>
          <c:showBubbleSize val="0"/>
        </c:dLbls>
        <c:gapWidth val="219"/>
        <c:overlap val="-27"/>
        <c:axId val="513324039"/>
        <c:axId val="513326087"/>
      </c:barChart>
      <c:catAx>
        <c:axId val="513324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26087"/>
        <c:crosses val="autoZero"/>
        <c:auto val="1"/>
        <c:lblAlgn val="ctr"/>
        <c:lblOffset val="100"/>
        <c:noMultiLvlLbl val="0"/>
      </c:catAx>
      <c:valAx>
        <c:axId val="513326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24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11</xdr:row>
      <xdr:rowOff>0</xdr:rowOff>
    </xdr:from>
    <xdr:to>
      <xdr:col>8</xdr:col>
      <xdr:colOff>723900</xdr:colOff>
      <xdr:row>18</xdr:row>
      <xdr:rowOff>19050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09DB1EEB-A21C-B375-7D30-EE128A6F54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10425" y="2095500"/>
              <a:ext cx="1828800" cy="13525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0</xdr:rowOff>
    </xdr:from>
    <xdr:to>
      <xdr:col>4</xdr:col>
      <xdr:colOff>152400</xdr:colOff>
      <xdr:row>29</xdr:row>
      <xdr:rowOff>76200</xdr:rowOff>
    </xdr:to>
    <xdr:graphicFrame macro="">
      <xdr:nvGraphicFramePr>
        <xdr:cNvPr id="3" name="Chart 5">
          <a:extLst>
            <a:ext uri="{FF2B5EF4-FFF2-40B4-BE49-F238E27FC236}">
              <a16:creationId xmlns:a16="http://schemas.microsoft.com/office/drawing/2014/main" id="{A2706014-C085-46E9-B7CE-9470F4667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161925</xdr:colOff>
      <xdr:row>15</xdr:row>
      <xdr:rowOff>0</xdr:rowOff>
    </xdr:from>
    <xdr:to>
      <xdr:col>11</xdr:col>
      <xdr:colOff>466725</xdr:colOff>
      <xdr:row>29</xdr:row>
      <xdr:rowOff>76200</xdr:rowOff>
    </xdr:to>
    <xdr:graphicFrame macro="">
      <xdr:nvGraphicFramePr>
        <xdr:cNvPr id="4" name="Chart 6">
          <a:extLst>
            <a:ext uri="{FF2B5EF4-FFF2-40B4-BE49-F238E27FC236}">
              <a16:creationId xmlns:a16="http://schemas.microsoft.com/office/drawing/2014/main" id="{CE6B5BDE-1945-49B6-8A1D-9C2AAC94B1F7}"/>
            </a:ext>
            <a:ext uri="{147F2762-F138-4A5C-976F-8EAC2B608ADB}">
              <a16:predDERef xmlns:a16="http://schemas.microsoft.com/office/drawing/2014/main" pred="{A2706014-C085-46E9-B7CE-9470F4667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76200</xdr:rowOff>
    </xdr:from>
    <xdr:to>
      <xdr:col>4</xdr:col>
      <xdr:colOff>152400</xdr:colOff>
      <xdr:row>43</xdr:row>
      <xdr:rowOff>152400</xdr:rowOff>
    </xdr:to>
    <xdr:graphicFrame macro="">
      <xdr:nvGraphicFramePr>
        <xdr:cNvPr id="5" name="Chart 7">
          <a:extLst>
            <a:ext uri="{FF2B5EF4-FFF2-40B4-BE49-F238E27FC236}">
              <a16:creationId xmlns:a16="http://schemas.microsoft.com/office/drawing/2014/main" id="{A61876F6-A3D7-4857-B2D6-FFB47DA1BDD8}"/>
            </a:ext>
            <a:ext uri="{147F2762-F138-4A5C-976F-8EAC2B608ADB}">
              <a16:predDERef xmlns:a16="http://schemas.microsoft.com/office/drawing/2014/main" pred="{CE6B5BDE-1945-49B6-8A1D-9C2AAC94B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161925</xdr:colOff>
      <xdr:row>29</xdr:row>
      <xdr:rowOff>76200</xdr:rowOff>
    </xdr:from>
    <xdr:to>
      <xdr:col>11</xdr:col>
      <xdr:colOff>161925</xdr:colOff>
      <xdr:row>43</xdr:row>
      <xdr:rowOff>152400</xdr:rowOff>
    </xdr:to>
    <xdr:graphicFrame macro="">
      <xdr:nvGraphicFramePr>
        <xdr:cNvPr id="6" name="Chart 8">
          <a:extLst>
            <a:ext uri="{FF2B5EF4-FFF2-40B4-BE49-F238E27FC236}">
              <a16:creationId xmlns:a16="http://schemas.microsoft.com/office/drawing/2014/main" id="{80B2A328-EEA2-3C1A-D83D-2A6518101348}"/>
            </a:ext>
            <a:ext uri="{147F2762-F138-4A5C-976F-8EAC2B608ADB}">
              <a16:predDERef xmlns:a16="http://schemas.microsoft.com/office/drawing/2014/main" pred="{A61876F6-A3D7-4857-B2D6-FFB47DA1B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152400</xdr:rowOff>
    </xdr:from>
    <xdr:to>
      <xdr:col>3</xdr:col>
      <xdr:colOff>762000</xdr:colOff>
      <xdr:row>58</xdr:row>
      <xdr:rowOff>38100</xdr:rowOff>
    </xdr:to>
    <xdr:graphicFrame macro="">
      <xdr:nvGraphicFramePr>
        <xdr:cNvPr id="7" name="Chart 9">
          <a:extLst>
            <a:ext uri="{FF2B5EF4-FFF2-40B4-BE49-F238E27FC236}">
              <a16:creationId xmlns:a16="http://schemas.microsoft.com/office/drawing/2014/main" id="{5E611999-764C-1EBB-D724-F4495B7697A8}"/>
            </a:ext>
            <a:ext uri="{147F2762-F138-4A5C-976F-8EAC2B608ADB}">
              <a16:predDERef xmlns:a16="http://schemas.microsoft.com/office/drawing/2014/main" pred="{80B2A328-EEA2-3C1A-D83D-2A6518101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0.501186689813" createdVersion="8" refreshedVersion="8" minRefreshableVersion="3" recordCount="650" xr:uid="{91027659-0850-49E6-B8E9-F3FCE79145E8}">
  <cacheSource type="worksheet">
    <worksheetSource name="Table2"/>
  </cacheSource>
  <cacheFields count="19">
    <cacheField name="Order ID" numFmtId="0">
      <sharedItems/>
    </cacheField>
    <cacheField name="Order Date" numFmtId="164">
      <sharedItems containsSemiMixedTypes="0" containsNonDate="0" containsDate="1" containsString="0" minDate="2025-07-01T00:00:00" maxDate="2026-06-30T00:00:00"/>
    </cacheField>
    <cacheField name="Region" numFmtId="0">
      <sharedItems count="4">
        <s v="North"/>
        <s v="West"/>
        <s v="South"/>
        <s v="East"/>
      </sharedItems>
    </cacheField>
    <cacheField name="City" numFmtId="0">
      <sharedItems/>
    </cacheField>
    <cacheField name="Sales Channel" numFmtId="0">
      <sharedItems count="3">
        <s v="Retail Store"/>
        <s v="Online"/>
        <s v="Corporate"/>
      </sharedItems>
    </cacheField>
    <cacheField name="Customer Type" numFmtId="0">
      <sharedItems/>
    </cacheField>
    <cacheField name="Product" numFmtId="0">
      <sharedItems/>
    </cacheField>
    <cacheField name="Category" numFmtId="0">
      <sharedItems count="5">
        <s v="Electronics"/>
        <s v="Accessories"/>
        <s v="Office Equipment"/>
        <s v="Storage"/>
        <s v="Furniture"/>
      </sharedItems>
    </cacheField>
    <cacheField name="Quantity" numFmtId="0">
      <sharedItems containsSemiMixedTypes="0" containsString="0" containsNumber="1" containsInteger="1" minValue="1" maxValue="5"/>
    </cacheField>
    <cacheField name="Unit Price INR" numFmtId="0">
      <sharedItems containsSemiMixedTypes="0" containsString="0" containsNumber="1" containsInteger="1" minValue="880" maxValue="66280"/>
    </cacheField>
    <cacheField name="Discount" numFmtId="0">
      <sharedItems containsSemiMixedTypes="0" containsString="0" containsNumber="1" minValue="0" maxValue="0.15"/>
    </cacheField>
    <cacheField name="Payment Method" numFmtId="0">
      <sharedItems/>
    </cacheField>
    <cacheField name="Salesperson" numFmtId="0">
      <sharedItems/>
    </cacheField>
    <cacheField name="Order Status" numFmtId="0">
      <sharedItems count="3">
        <s v="Delivered"/>
        <s v="Cancelled"/>
        <s v="Returned"/>
      </sharedItems>
    </cacheField>
    <cacheField name="Gross Sales INR" numFmtId="0">
      <sharedItems containsSemiMixedTypes="0" containsString="0" containsNumber="1" containsInteger="1" minValue="0" maxValue="315750"/>
    </cacheField>
    <cacheField name="Discount Amount INR" numFmtId="0">
      <sharedItems containsSemiMixedTypes="0" containsString="0" containsNumber="1" minValue="0" maxValue="46147.5"/>
    </cacheField>
    <cacheField name="Net Sales INR" numFmtId="0">
      <sharedItems containsSemiMixedTypes="0" containsString="0" containsNumber="1" minValue="0" maxValue="315750"/>
    </cacheField>
    <cacheField name="Delivery Days" numFmtId="0">
      <sharedItems containsString="0" containsBlank="1" containsNumber="1" containsInteger="1" minValue="1" maxValue="7"/>
    </cacheField>
    <cacheField name="Sales Month" numFmtId="166">
      <sharedItems containsSemiMixedTypes="0" containsNonDate="0" containsDate="1" containsString="0" minDate="2025-07-01T00:00:00" maxDate="2026-06-02T00:00:00" count="12">
        <d v="2025-07-01T00:00:00"/>
        <d v="2025-08-01T00:00:00"/>
        <d v="2025-09-01T00:00:00"/>
        <d v="2025-10-01T00:00:00"/>
        <d v="2025-11-01T00:00:00"/>
        <d v="2025-12-01T00:00:00"/>
        <d v="2026-01-01T00:00:00"/>
        <d v="2026-02-01T00:00:00"/>
        <d v="2026-03-01T00:00:00"/>
        <d v="2026-04-01T00:00:00"/>
        <d v="2026-05-01T00:00:00"/>
        <d v="2026-06-01T00:00:00"/>
      </sharedItems>
    </cacheField>
  </cacheFields>
  <extLst>
    <ext xmlns:x14="http://schemas.microsoft.com/office/spreadsheetml/2009/9/main" uri="{725AE2AE-9491-48be-B2B4-4EB974FC3084}">
      <x14:pivotCacheDefinition pivotCacheId="1729516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
  <r>
    <s v="ORD-10585"/>
    <d v="2025-07-01T00:00:00"/>
    <x v="0"/>
    <s v="Lucknow"/>
    <x v="0"/>
    <s v="Individual"/>
    <s v="Smartphone"/>
    <x v="0"/>
    <n v="5"/>
    <n v="26500"/>
    <n v="0"/>
    <s v="Cash on Delivery"/>
    <s v="Rohan Sharma"/>
    <x v="0"/>
    <n v="132500"/>
    <n v="0"/>
    <n v="132500"/>
    <n v="3"/>
    <x v="0"/>
  </r>
  <r>
    <s v="ORD-10397"/>
    <d v="2025-07-01T00:00:00"/>
    <x v="1"/>
    <s v="Surat"/>
    <x v="0"/>
    <s v="Small Business"/>
    <s v="Backpack"/>
    <x v="1"/>
    <n v="1"/>
    <n v="2500"/>
    <n v="0.03"/>
    <s v="Net Banking"/>
    <s v="Aarav Mehta"/>
    <x v="0"/>
    <n v="2500"/>
    <n v="75"/>
    <n v="2425"/>
    <n v="2"/>
    <x v="0"/>
  </r>
  <r>
    <s v="ORD-10292"/>
    <d v="2025-07-01T00:00:00"/>
    <x v="1"/>
    <s v="Surat"/>
    <x v="0"/>
    <s v="Small Business"/>
    <s v="Laptop"/>
    <x v="0"/>
    <n v="3"/>
    <n v="57740"/>
    <n v="0.05"/>
    <s v="Net Banking"/>
    <s v="Priya Nair"/>
    <x v="0"/>
    <n v="173220"/>
    <n v="8661"/>
    <n v="164559"/>
    <n v="1"/>
    <x v="0"/>
  </r>
  <r>
    <s v="ORD-10085"/>
    <d v="2025-07-02T00:00:00"/>
    <x v="2"/>
    <s v="Chennai"/>
    <x v="1"/>
    <s v="Individual"/>
    <s v="Mouse"/>
    <x v="1"/>
    <n v="3"/>
    <n v="990"/>
    <n v="0"/>
    <s v="Net Banking"/>
    <s v="Vikram Singh"/>
    <x v="1"/>
    <n v="0"/>
    <n v="0"/>
    <n v="0"/>
    <m/>
    <x v="0"/>
  </r>
  <r>
    <s v="ORD-10198"/>
    <d v="2025-07-02T00:00:00"/>
    <x v="2"/>
    <s v="Hyderabad"/>
    <x v="0"/>
    <s v="Individual"/>
    <s v="Printer"/>
    <x v="2"/>
    <n v="2"/>
    <n v="13300"/>
    <n v="0.15"/>
    <s v="Cash on Delivery"/>
    <s v="Sneha Iyer"/>
    <x v="0"/>
    <n v="26600"/>
    <n v="3990"/>
    <n v="22610"/>
    <n v="3"/>
    <x v="0"/>
  </r>
  <r>
    <s v="ORD-10526"/>
    <d v="2025-07-02T00:00:00"/>
    <x v="0"/>
    <s v="Noida"/>
    <x v="0"/>
    <s v="Enterprise"/>
    <s v="Smartphone"/>
    <x v="0"/>
    <n v="1"/>
    <n v="29800"/>
    <n v="0.1"/>
    <s v="Debit Card"/>
    <s v="Karan Patel"/>
    <x v="0"/>
    <n v="29800"/>
    <n v="2980"/>
    <n v="26820"/>
    <n v="3"/>
    <x v="0"/>
  </r>
  <r>
    <s v="ORD-10121"/>
    <d v="2025-07-02T00:00:00"/>
    <x v="0"/>
    <s v="Delhi"/>
    <x v="0"/>
    <s v="Small Business"/>
    <s v="External SSD"/>
    <x v="3"/>
    <n v="1"/>
    <n v="6710"/>
    <n v="0"/>
    <s v="Net Banking"/>
    <s v="Vikram Singh"/>
    <x v="0"/>
    <n v="6710"/>
    <n v="0"/>
    <n v="6710"/>
    <n v="2"/>
    <x v="0"/>
  </r>
  <r>
    <s v="ORD-10109"/>
    <d v="2025-07-04T00:00:00"/>
    <x v="1"/>
    <s v="Mumbai"/>
    <x v="1"/>
    <s v="Small Business"/>
    <s v="Keyboard"/>
    <x v="1"/>
    <n v="3"/>
    <n v="1790"/>
    <n v="0.05"/>
    <s v="Net Banking"/>
    <s v="Sneha Iyer"/>
    <x v="0"/>
    <n v="5370"/>
    <n v="268.5"/>
    <n v="5101.5"/>
    <n v="3"/>
    <x v="0"/>
  </r>
  <r>
    <s v="ORD-10527"/>
    <d v="2025-07-04T00:00:00"/>
    <x v="1"/>
    <s v="Mumbai"/>
    <x v="1"/>
    <s v="Small Business"/>
    <s v="External SSD"/>
    <x v="3"/>
    <n v="2"/>
    <n v="6850"/>
    <n v="0.05"/>
    <s v="UPI"/>
    <s v="Rohan Sharma"/>
    <x v="0"/>
    <n v="13700"/>
    <n v="685"/>
    <n v="13015"/>
    <n v="3"/>
    <x v="0"/>
  </r>
  <r>
    <s v="ORD-10083"/>
    <d v="2025-07-04T00:00:00"/>
    <x v="0"/>
    <s v="Delhi"/>
    <x v="0"/>
    <s v="Enterprise"/>
    <s v="External SSD"/>
    <x v="3"/>
    <n v="4"/>
    <n v="6700"/>
    <n v="0.03"/>
    <s v="UPI"/>
    <s v="Ananya Rao"/>
    <x v="0"/>
    <n v="26800"/>
    <n v="804"/>
    <n v="25996"/>
    <n v="4"/>
    <x v="0"/>
  </r>
  <r>
    <s v="ORD-10320"/>
    <d v="2025-07-04T00:00:00"/>
    <x v="1"/>
    <s v="Surat"/>
    <x v="1"/>
    <s v="Individual"/>
    <s v="Keyboard"/>
    <x v="1"/>
    <n v="1"/>
    <n v="1740"/>
    <n v="0"/>
    <s v="Credit Card"/>
    <s v="Priya Nair"/>
    <x v="0"/>
    <n v="1740"/>
    <n v="0"/>
    <n v="1740"/>
    <n v="4"/>
    <x v="0"/>
  </r>
  <r>
    <s v="ORD-10530"/>
    <d v="2025-07-05T00:00:00"/>
    <x v="1"/>
    <s v="Mumbai"/>
    <x v="2"/>
    <s v="Individual"/>
    <s v="Mouse"/>
    <x v="1"/>
    <n v="5"/>
    <n v="950"/>
    <n v="0.1"/>
    <s v="UPI"/>
    <s v="Neha Kapoor"/>
    <x v="0"/>
    <n v="4750"/>
    <n v="475"/>
    <n v="4275"/>
    <n v="3"/>
    <x v="0"/>
  </r>
  <r>
    <s v="ORD-10565"/>
    <d v="2025-07-05T00:00:00"/>
    <x v="2"/>
    <s v="Hyderabad"/>
    <x v="1"/>
    <s v="Individual"/>
    <s v="Office Chair"/>
    <x v="4"/>
    <n v="2"/>
    <n v="11810"/>
    <n v="0.08"/>
    <s v="Credit Card"/>
    <s v="Neha Kapoor"/>
    <x v="0"/>
    <n v="23620"/>
    <n v="1889.6"/>
    <n v="21730.400000000001"/>
    <n v="2"/>
    <x v="0"/>
  </r>
  <r>
    <s v="ORD-10375"/>
    <d v="2025-07-06T00:00:00"/>
    <x v="2"/>
    <s v="Chennai"/>
    <x v="0"/>
    <s v="Individual"/>
    <s v="Laptop"/>
    <x v="0"/>
    <n v="3"/>
    <n v="64490"/>
    <n v="0"/>
    <s v="Net Banking"/>
    <s v="Aarav Mehta"/>
    <x v="0"/>
    <n v="193470"/>
    <n v="0"/>
    <n v="193470"/>
    <n v="1"/>
    <x v="0"/>
  </r>
  <r>
    <s v="ORD-10381"/>
    <d v="2025-07-06T00:00:00"/>
    <x v="1"/>
    <s v="Surat"/>
    <x v="1"/>
    <s v="Individual"/>
    <s v="Laptop"/>
    <x v="0"/>
    <n v="1"/>
    <n v="64500"/>
    <n v="0.08"/>
    <s v="Net Banking"/>
    <s v="Priya Nair"/>
    <x v="0"/>
    <n v="64500"/>
    <n v="5160"/>
    <n v="59340"/>
    <n v="5"/>
    <x v="0"/>
  </r>
  <r>
    <s v="ORD-10330"/>
    <d v="2025-07-06T00:00:00"/>
    <x v="1"/>
    <s v="Pune"/>
    <x v="0"/>
    <s v="Individual"/>
    <s v="External SSD"/>
    <x v="3"/>
    <n v="4"/>
    <n v="7640"/>
    <n v="0.05"/>
    <s v="Credit Card"/>
    <s v="Priya Nair"/>
    <x v="0"/>
    <n v="30560"/>
    <n v="1528"/>
    <n v="29032"/>
    <n v="2"/>
    <x v="0"/>
  </r>
  <r>
    <s v="ORD-10200"/>
    <d v="2025-07-07T00:00:00"/>
    <x v="2"/>
    <s v="Chennai"/>
    <x v="0"/>
    <s v="Small Business"/>
    <s v="Smartphone"/>
    <x v="0"/>
    <n v="4"/>
    <n v="29300"/>
    <n v="0.08"/>
    <s v="Credit Card"/>
    <s v="Rohan Sharma"/>
    <x v="0"/>
    <n v="117200"/>
    <n v="9376"/>
    <n v="107824"/>
    <n v="5"/>
    <x v="0"/>
  </r>
  <r>
    <s v="ORD-10234"/>
    <d v="2025-07-07T00:00:00"/>
    <x v="1"/>
    <s v="Pune"/>
    <x v="1"/>
    <s v="Enterprise"/>
    <s v="Backpack"/>
    <x v="1"/>
    <n v="3"/>
    <n v="2290"/>
    <n v="0"/>
    <s v="UPI"/>
    <s v="Sneha Iyer"/>
    <x v="0"/>
    <n v="6870"/>
    <n v="0"/>
    <n v="6870"/>
    <n v="2"/>
    <x v="0"/>
  </r>
  <r>
    <s v="ORD-10222"/>
    <d v="2025-07-08T00:00:00"/>
    <x v="3"/>
    <s v="Guwahati"/>
    <x v="0"/>
    <s v="Enterprise"/>
    <s v="Laptop"/>
    <x v="0"/>
    <n v="3"/>
    <n v="61020"/>
    <n v="0"/>
    <s v="Cash on Delivery"/>
    <s v="Priya Nair"/>
    <x v="0"/>
    <n v="183060"/>
    <n v="0"/>
    <n v="183060"/>
    <n v="4"/>
    <x v="0"/>
  </r>
  <r>
    <s v="ORD-10634"/>
    <d v="2025-07-08T00:00:00"/>
    <x v="1"/>
    <s v="Ahmedabad"/>
    <x v="2"/>
    <s v="Individual"/>
    <s v="Keyboard"/>
    <x v="1"/>
    <n v="1"/>
    <n v="1880"/>
    <n v="0.05"/>
    <s v="Debit Card"/>
    <s v="Karan Patel"/>
    <x v="0"/>
    <n v="1880"/>
    <n v="94"/>
    <n v="1786"/>
    <n v="3"/>
    <x v="0"/>
  </r>
  <r>
    <s v="ORD-10126"/>
    <d v="2025-07-08T00:00:00"/>
    <x v="0"/>
    <s v="Noida"/>
    <x v="1"/>
    <s v="Small Business"/>
    <s v="Laptop"/>
    <x v="0"/>
    <n v="4"/>
    <n v="58490"/>
    <n v="0.15"/>
    <s v="Debit Card"/>
    <s v="Neha Kapoor"/>
    <x v="0"/>
    <n v="233960"/>
    <n v="35094"/>
    <n v="198866"/>
    <n v="1"/>
    <x v="0"/>
  </r>
  <r>
    <s v="ORD-10648"/>
    <d v="2025-07-09T00:00:00"/>
    <x v="2"/>
    <s v="Hyderabad"/>
    <x v="1"/>
    <s v="Individual"/>
    <s v="Backpack"/>
    <x v="1"/>
    <n v="5"/>
    <n v="2400"/>
    <n v="0.05"/>
    <s v="Credit Card"/>
    <s v="Priya Nair"/>
    <x v="0"/>
    <n v="12000"/>
    <n v="600"/>
    <n v="11400"/>
    <n v="3"/>
    <x v="0"/>
  </r>
  <r>
    <s v="ORD-10594"/>
    <d v="2025-07-10T00:00:00"/>
    <x v="2"/>
    <s v="Bengaluru"/>
    <x v="1"/>
    <s v="Enterprise"/>
    <s v="Keyboard"/>
    <x v="1"/>
    <n v="2"/>
    <n v="1830"/>
    <n v="0.08"/>
    <s v="UPI"/>
    <s v="Rohan Sharma"/>
    <x v="0"/>
    <n v="3660"/>
    <n v="292.8"/>
    <n v="3367.2"/>
    <n v="5"/>
    <x v="0"/>
  </r>
  <r>
    <s v="ORD-10061"/>
    <d v="2025-07-10T00:00:00"/>
    <x v="0"/>
    <s v="Lucknow"/>
    <x v="0"/>
    <s v="Small Business"/>
    <s v="Backpack"/>
    <x v="1"/>
    <n v="1"/>
    <n v="2280"/>
    <n v="0"/>
    <s v="Cash on Delivery"/>
    <s v="Neha Kapoor"/>
    <x v="0"/>
    <n v="2280"/>
    <n v="0"/>
    <n v="2280"/>
    <n v="3"/>
    <x v="0"/>
  </r>
  <r>
    <s v="ORD-10243"/>
    <d v="2025-07-10T00:00:00"/>
    <x v="0"/>
    <s v="Lucknow"/>
    <x v="1"/>
    <s v="Small Business"/>
    <s v="Monitor"/>
    <x v="0"/>
    <n v="4"/>
    <n v="17330"/>
    <n v="0.05"/>
    <s v="UPI"/>
    <s v="Sneha Iyer"/>
    <x v="0"/>
    <n v="69320"/>
    <n v="3466"/>
    <n v="65854"/>
    <n v="3"/>
    <x v="0"/>
  </r>
  <r>
    <s v="ORD-10604"/>
    <d v="2025-07-11T00:00:00"/>
    <x v="2"/>
    <s v="Bengaluru"/>
    <x v="0"/>
    <s v="Small Business"/>
    <s v="Printer"/>
    <x v="2"/>
    <n v="5"/>
    <n v="11680"/>
    <n v="0.08"/>
    <s v="Debit Card"/>
    <s v="Sneha Iyer"/>
    <x v="0"/>
    <n v="58400"/>
    <n v="4672"/>
    <n v="53728"/>
    <n v="2"/>
    <x v="0"/>
  </r>
  <r>
    <s v="ORD-10471"/>
    <d v="2025-07-11T00:00:00"/>
    <x v="2"/>
    <s v="Hyderabad"/>
    <x v="0"/>
    <s v="Small Business"/>
    <s v="Tablet"/>
    <x v="0"/>
    <n v="2"/>
    <n v="21260"/>
    <n v="0.05"/>
    <s v="UPI"/>
    <s v="Aarav Mehta"/>
    <x v="0"/>
    <n v="42520"/>
    <n v="2126"/>
    <n v="40394"/>
    <n v="5"/>
    <x v="0"/>
  </r>
  <r>
    <s v="ORD-10620"/>
    <d v="2025-07-11T00:00:00"/>
    <x v="0"/>
    <s v="Noida"/>
    <x v="1"/>
    <s v="Enterprise"/>
    <s v="Smartphone"/>
    <x v="0"/>
    <n v="2"/>
    <n v="26450"/>
    <n v="0.08"/>
    <s v="Debit Card"/>
    <s v="Karan Patel"/>
    <x v="0"/>
    <n v="52900"/>
    <n v="4232"/>
    <n v="48668"/>
    <n v="6"/>
    <x v="0"/>
  </r>
  <r>
    <s v="ORD-10457"/>
    <d v="2025-07-14T00:00:00"/>
    <x v="1"/>
    <s v="Pune"/>
    <x v="1"/>
    <s v="Individual"/>
    <s v="Monitor"/>
    <x v="0"/>
    <n v="1"/>
    <n v="17610"/>
    <n v="0"/>
    <s v="Credit Card"/>
    <s v="Vikram Singh"/>
    <x v="0"/>
    <n v="17610"/>
    <n v="0"/>
    <n v="17610"/>
    <n v="2"/>
    <x v="0"/>
  </r>
  <r>
    <s v="ORD-10360"/>
    <d v="2025-07-14T00:00:00"/>
    <x v="0"/>
    <s v="Lucknow"/>
    <x v="1"/>
    <s v="Small Business"/>
    <s v="Keyboard"/>
    <x v="1"/>
    <n v="2"/>
    <n v="1890"/>
    <n v="0.05"/>
    <s v="Debit Card"/>
    <s v="Ananya Rao"/>
    <x v="0"/>
    <n v="3780"/>
    <n v="189"/>
    <n v="3591"/>
    <n v="3"/>
    <x v="0"/>
  </r>
  <r>
    <s v="ORD-10512"/>
    <d v="2025-07-15T00:00:00"/>
    <x v="0"/>
    <s v="Noida"/>
    <x v="0"/>
    <s v="Small Business"/>
    <s v="Smartphone"/>
    <x v="0"/>
    <n v="1"/>
    <n v="27790"/>
    <n v="0"/>
    <s v="UPI"/>
    <s v="Neha Kapoor"/>
    <x v="0"/>
    <n v="27790"/>
    <n v="0"/>
    <n v="27790"/>
    <n v="2"/>
    <x v="0"/>
  </r>
  <r>
    <s v="ORD-10349"/>
    <d v="2025-07-15T00:00:00"/>
    <x v="3"/>
    <s v="Guwahati"/>
    <x v="0"/>
    <s v="Small Business"/>
    <s v="Power Bank"/>
    <x v="1"/>
    <n v="1"/>
    <n v="1920"/>
    <n v="0.08"/>
    <s v="Credit Card"/>
    <s v="Rohan Sharma"/>
    <x v="0"/>
    <n v="1920"/>
    <n v="153.6"/>
    <n v="1766.4"/>
    <n v="2"/>
    <x v="0"/>
  </r>
  <r>
    <s v="ORD-10606"/>
    <d v="2025-07-15T00:00:00"/>
    <x v="0"/>
    <s v="Jaipur"/>
    <x v="0"/>
    <s v="Small Business"/>
    <s v="Keyboard"/>
    <x v="1"/>
    <n v="2"/>
    <n v="1700"/>
    <n v="0"/>
    <s v="UPI"/>
    <s v="Ananya Rao"/>
    <x v="0"/>
    <n v="3400"/>
    <n v="0"/>
    <n v="3400"/>
    <n v="1"/>
    <x v="0"/>
  </r>
  <r>
    <s v="ORD-10092"/>
    <d v="2025-07-15T00:00:00"/>
    <x v="3"/>
    <s v="Guwahati"/>
    <x v="1"/>
    <s v="Individual"/>
    <s v="Wireless Headphones"/>
    <x v="0"/>
    <n v="1"/>
    <n v="3230"/>
    <n v="0.05"/>
    <s v="UPI"/>
    <s v="Ananya Rao"/>
    <x v="0"/>
    <n v="3230"/>
    <n v="161.5"/>
    <n v="3068.5"/>
    <n v="4"/>
    <x v="0"/>
  </r>
  <r>
    <s v="ORD-10187"/>
    <d v="2025-07-15T00:00:00"/>
    <x v="2"/>
    <s v="Hyderabad"/>
    <x v="1"/>
    <s v="Small Business"/>
    <s v="Power Bank"/>
    <x v="1"/>
    <n v="3"/>
    <n v="1900"/>
    <n v="0.05"/>
    <s v="Debit Card"/>
    <s v="Neha Kapoor"/>
    <x v="0"/>
    <n v="5700"/>
    <n v="285"/>
    <n v="5415"/>
    <n v="4"/>
    <x v="0"/>
  </r>
  <r>
    <s v="ORD-10164"/>
    <d v="2025-07-16T00:00:00"/>
    <x v="3"/>
    <s v="Guwahati"/>
    <x v="0"/>
    <s v="Individual"/>
    <s v="Keyboard"/>
    <x v="1"/>
    <n v="3"/>
    <n v="1700"/>
    <n v="0.08"/>
    <s v="UPI"/>
    <s v="Karan Patel"/>
    <x v="0"/>
    <n v="5100"/>
    <n v="408"/>
    <n v="4692"/>
    <n v="3"/>
    <x v="0"/>
  </r>
  <r>
    <s v="ORD-10347"/>
    <d v="2025-07-18T00:00:00"/>
    <x v="2"/>
    <s v="Hyderabad"/>
    <x v="1"/>
    <s v="Individual"/>
    <s v="Smartphone"/>
    <x v="0"/>
    <n v="3"/>
    <n v="27680"/>
    <n v="0.03"/>
    <s v="Cash on Delivery"/>
    <s v="Karan Patel"/>
    <x v="0"/>
    <n v="83040"/>
    <n v="2491.1999999999998"/>
    <n v="80548.800000000003"/>
    <n v="3"/>
    <x v="0"/>
  </r>
  <r>
    <s v="ORD-10301"/>
    <d v="2025-07-18T00:00:00"/>
    <x v="1"/>
    <s v="Surat"/>
    <x v="1"/>
    <s v="Individual"/>
    <s v="Monitor"/>
    <x v="0"/>
    <n v="1"/>
    <n v="17320"/>
    <n v="0.05"/>
    <s v="Credit Card"/>
    <s v="Ananya Rao"/>
    <x v="0"/>
    <n v="17320"/>
    <n v="866"/>
    <n v="16454"/>
    <n v="1"/>
    <x v="0"/>
  </r>
  <r>
    <s v="ORD-10014"/>
    <d v="2025-07-18T00:00:00"/>
    <x v="3"/>
    <s v="Guwahati"/>
    <x v="0"/>
    <s v="Enterprise"/>
    <s v="Backpack"/>
    <x v="1"/>
    <n v="1"/>
    <n v="2280"/>
    <n v="0"/>
    <s v="UPI"/>
    <s v="Rohan Sharma"/>
    <x v="0"/>
    <n v="2280"/>
    <n v="0"/>
    <n v="2280"/>
    <n v="6"/>
    <x v="0"/>
  </r>
  <r>
    <s v="ORD-10265"/>
    <d v="2025-07-21T00:00:00"/>
    <x v="2"/>
    <s v="Bengaluru"/>
    <x v="2"/>
    <s v="Small Business"/>
    <s v="Smartphone"/>
    <x v="0"/>
    <n v="2"/>
    <n v="26540"/>
    <n v="0.03"/>
    <s v="Debit Card"/>
    <s v="Karan Patel"/>
    <x v="0"/>
    <n v="53080"/>
    <n v="1592.4"/>
    <n v="51487.6"/>
    <n v="3"/>
    <x v="0"/>
  </r>
  <r>
    <s v="ORD-10017"/>
    <d v="2025-07-21T00:00:00"/>
    <x v="1"/>
    <s v="Surat"/>
    <x v="2"/>
    <s v="Individual"/>
    <s v="Laptop"/>
    <x v="0"/>
    <n v="1"/>
    <n v="61320"/>
    <n v="0.15"/>
    <s v="Credit Card"/>
    <s v="Sneha Iyer"/>
    <x v="0"/>
    <n v="61320"/>
    <n v="9198"/>
    <n v="52122"/>
    <n v="7"/>
    <x v="0"/>
  </r>
  <r>
    <s v="ORD-10327"/>
    <d v="2025-07-23T00:00:00"/>
    <x v="0"/>
    <s v="Delhi"/>
    <x v="2"/>
    <s v="Individual"/>
    <s v="Keyboard"/>
    <x v="1"/>
    <n v="1"/>
    <n v="1740"/>
    <n v="0.08"/>
    <s v="Net Banking"/>
    <s v="Sneha Iyer"/>
    <x v="0"/>
    <n v="1740"/>
    <n v="139.19999999999999"/>
    <n v="1600.8"/>
    <n v="3"/>
    <x v="0"/>
  </r>
  <r>
    <s v="ORD-10144"/>
    <d v="2025-07-23T00:00:00"/>
    <x v="2"/>
    <s v="Kochi"/>
    <x v="2"/>
    <s v="Individual"/>
    <s v="Wireless Headphones"/>
    <x v="0"/>
    <n v="1"/>
    <n v="3170"/>
    <n v="0"/>
    <s v="UPI"/>
    <s v="Priya Nair"/>
    <x v="1"/>
    <n v="0"/>
    <n v="0"/>
    <n v="0"/>
    <m/>
    <x v="0"/>
  </r>
  <r>
    <s v="ORD-10385"/>
    <d v="2025-07-23T00:00:00"/>
    <x v="1"/>
    <s v="Pune"/>
    <x v="0"/>
    <s v="Individual"/>
    <s v="Mouse"/>
    <x v="1"/>
    <n v="2"/>
    <n v="880"/>
    <n v="0.08"/>
    <s v="Credit Card"/>
    <s v="Rohan Sharma"/>
    <x v="0"/>
    <n v="1760"/>
    <n v="140.80000000000001"/>
    <n v="1619.2"/>
    <n v="1"/>
    <x v="0"/>
  </r>
  <r>
    <s v="ORD-10631"/>
    <d v="2025-07-23T00:00:00"/>
    <x v="2"/>
    <s v="Hyderabad"/>
    <x v="2"/>
    <s v="Enterprise"/>
    <s v="Monitor"/>
    <x v="0"/>
    <n v="1"/>
    <n v="17400"/>
    <n v="0.05"/>
    <s v="UPI"/>
    <s v="Karan Patel"/>
    <x v="0"/>
    <n v="17400"/>
    <n v="870"/>
    <n v="16530"/>
    <n v="3"/>
    <x v="0"/>
  </r>
  <r>
    <s v="ORD-10432"/>
    <d v="2025-07-25T00:00:00"/>
    <x v="1"/>
    <s v="Mumbai"/>
    <x v="1"/>
    <s v="Individual"/>
    <s v="Wireless Headphones"/>
    <x v="0"/>
    <n v="1"/>
    <n v="3030"/>
    <n v="0.03"/>
    <s v="Net Banking"/>
    <s v="Aarav Mehta"/>
    <x v="0"/>
    <n v="3030"/>
    <n v="90.9"/>
    <n v="2939.1"/>
    <n v="5"/>
    <x v="0"/>
  </r>
  <r>
    <s v="ORD-10536"/>
    <d v="2025-07-25T00:00:00"/>
    <x v="2"/>
    <s v="Kochi"/>
    <x v="2"/>
    <s v="Small Business"/>
    <s v="Wireless Headphones"/>
    <x v="0"/>
    <n v="2"/>
    <n v="3140"/>
    <n v="0.1"/>
    <s v="Debit Card"/>
    <s v="Karan Patel"/>
    <x v="0"/>
    <n v="6280"/>
    <n v="628"/>
    <n v="5652"/>
    <n v="2"/>
    <x v="0"/>
  </r>
  <r>
    <s v="ORD-10328"/>
    <d v="2025-07-25T00:00:00"/>
    <x v="1"/>
    <s v="Ahmedabad"/>
    <x v="2"/>
    <s v="Individual"/>
    <s v="Laptop"/>
    <x v="0"/>
    <n v="2"/>
    <n v="60000"/>
    <n v="0.03"/>
    <s v="UPI"/>
    <s v="Sneha Iyer"/>
    <x v="0"/>
    <n v="120000"/>
    <n v="3600"/>
    <n v="116400"/>
    <n v="2"/>
    <x v="0"/>
  </r>
  <r>
    <s v="ORD-10476"/>
    <d v="2025-07-25T00:00:00"/>
    <x v="3"/>
    <s v="Bhubaneswar"/>
    <x v="0"/>
    <s v="Enterprise"/>
    <s v="Laptop"/>
    <x v="0"/>
    <n v="1"/>
    <n v="59470"/>
    <n v="0.08"/>
    <s v="Debit Card"/>
    <s v="Karan Patel"/>
    <x v="0"/>
    <n v="59470"/>
    <n v="4757.6000000000004"/>
    <n v="54712.4"/>
    <n v="1"/>
    <x v="0"/>
  </r>
  <r>
    <s v="ORD-10590"/>
    <d v="2025-07-27T00:00:00"/>
    <x v="0"/>
    <s v="Delhi"/>
    <x v="1"/>
    <s v="Small Business"/>
    <s v="Laptop"/>
    <x v="0"/>
    <n v="1"/>
    <n v="65160"/>
    <n v="0"/>
    <s v="Credit Card"/>
    <s v="Ananya Rao"/>
    <x v="0"/>
    <n v="65160"/>
    <n v="0"/>
    <n v="65160"/>
    <n v="2"/>
    <x v="0"/>
  </r>
  <r>
    <s v="ORD-10143"/>
    <d v="2025-07-27T00:00:00"/>
    <x v="2"/>
    <s v="Chennai"/>
    <x v="1"/>
    <s v="Small Business"/>
    <s v="Printer"/>
    <x v="2"/>
    <n v="1"/>
    <n v="13060"/>
    <n v="0.08"/>
    <s v="UPI"/>
    <s v="Vikram Singh"/>
    <x v="0"/>
    <n v="13060"/>
    <n v="1044.8"/>
    <n v="12015.2"/>
    <n v="4"/>
    <x v="0"/>
  </r>
  <r>
    <s v="ORD-10141"/>
    <d v="2025-07-27T00:00:00"/>
    <x v="0"/>
    <s v="Lucknow"/>
    <x v="1"/>
    <s v="Individual"/>
    <s v="Power Bank"/>
    <x v="1"/>
    <n v="2"/>
    <n v="1680"/>
    <n v="0.03"/>
    <s v="UPI"/>
    <s v="Priya Nair"/>
    <x v="0"/>
    <n v="3360"/>
    <n v="100.8"/>
    <n v="3259.2"/>
    <n v="4"/>
    <x v="0"/>
  </r>
  <r>
    <s v="ORD-10305"/>
    <d v="2025-07-28T00:00:00"/>
    <x v="2"/>
    <s v="Bengaluru"/>
    <x v="0"/>
    <s v="Individual"/>
    <s v="Laptop"/>
    <x v="0"/>
    <n v="3"/>
    <n v="65510"/>
    <n v="0.08"/>
    <s v="Credit Card"/>
    <s v="Neha Kapoor"/>
    <x v="0"/>
    <n v="196530"/>
    <n v="15722.4"/>
    <n v="180807.6"/>
    <n v="3"/>
    <x v="0"/>
  </r>
  <r>
    <s v="ORD-10507"/>
    <d v="2025-07-28T00:00:00"/>
    <x v="1"/>
    <s v="Surat"/>
    <x v="1"/>
    <s v="Small Business"/>
    <s v="Wireless Headphones"/>
    <x v="0"/>
    <n v="5"/>
    <n v="3320"/>
    <n v="0.05"/>
    <s v="UPI"/>
    <s v="Priya Nair"/>
    <x v="0"/>
    <n v="16600"/>
    <n v="830"/>
    <n v="15770"/>
    <n v="3"/>
    <x v="0"/>
  </r>
  <r>
    <s v="ORD-10388"/>
    <d v="2025-07-28T00:00:00"/>
    <x v="0"/>
    <s v="Delhi"/>
    <x v="0"/>
    <s v="Enterprise"/>
    <s v="Wireless Headphones"/>
    <x v="0"/>
    <n v="1"/>
    <n v="3310"/>
    <n v="0.05"/>
    <s v="Debit Card"/>
    <s v="Neha Kapoor"/>
    <x v="0"/>
    <n v="3310"/>
    <n v="165.5"/>
    <n v="3144.5"/>
    <n v="4"/>
    <x v="0"/>
  </r>
  <r>
    <s v="ORD-10271"/>
    <d v="2025-07-28T00:00:00"/>
    <x v="0"/>
    <s v="Noida"/>
    <x v="1"/>
    <s v="Small Business"/>
    <s v="External SSD"/>
    <x v="3"/>
    <n v="3"/>
    <n v="7540"/>
    <n v="0.08"/>
    <s v="Cash on Delivery"/>
    <s v="Neha Kapoor"/>
    <x v="2"/>
    <n v="22620"/>
    <n v="1809.6"/>
    <n v="20810.400000000001"/>
    <n v="5"/>
    <x v="0"/>
  </r>
  <r>
    <s v="ORD-10494"/>
    <d v="2025-07-29T00:00:00"/>
    <x v="0"/>
    <s v="Jaipur"/>
    <x v="1"/>
    <s v="Individual"/>
    <s v="Office Chair"/>
    <x v="4"/>
    <n v="2"/>
    <n v="10820"/>
    <n v="0.05"/>
    <s v="Debit Card"/>
    <s v="Sneha Iyer"/>
    <x v="0"/>
    <n v="21640"/>
    <n v="1082"/>
    <n v="20558"/>
    <n v="3"/>
    <x v="0"/>
  </r>
  <r>
    <s v="ORD-10478"/>
    <d v="2025-07-30T00:00:00"/>
    <x v="0"/>
    <s v="Delhi"/>
    <x v="0"/>
    <s v="Individual"/>
    <s v="Laptop"/>
    <x v="0"/>
    <n v="1"/>
    <n v="57750"/>
    <n v="0.05"/>
    <s v="Debit Card"/>
    <s v="Priya Nair"/>
    <x v="2"/>
    <n v="57750"/>
    <n v="2887.5"/>
    <n v="54862.5"/>
    <n v="3"/>
    <x v="0"/>
  </r>
  <r>
    <s v="ORD-10194"/>
    <d v="2025-07-30T00:00:00"/>
    <x v="2"/>
    <s v="Bengaluru"/>
    <x v="0"/>
    <s v="Individual"/>
    <s v="Smartphone"/>
    <x v="0"/>
    <n v="3"/>
    <n v="26780"/>
    <n v="0"/>
    <s v="Debit Card"/>
    <s v="Ananya Rao"/>
    <x v="0"/>
    <n v="80340"/>
    <n v="0"/>
    <n v="80340"/>
    <n v="2"/>
    <x v="0"/>
  </r>
  <r>
    <s v="ORD-10071"/>
    <d v="2025-07-30T00:00:00"/>
    <x v="1"/>
    <s v="Surat"/>
    <x v="1"/>
    <s v="Individual"/>
    <s v="Tablet"/>
    <x v="0"/>
    <n v="4"/>
    <n v="21760"/>
    <n v="0.05"/>
    <s v="Credit Card"/>
    <s v="Ananya Rao"/>
    <x v="0"/>
    <n v="87040"/>
    <n v="4352"/>
    <n v="82688"/>
    <n v="4"/>
    <x v="0"/>
  </r>
  <r>
    <s v="ORD-10411"/>
    <d v="2025-07-31T00:00:00"/>
    <x v="0"/>
    <s v="Noida"/>
    <x v="1"/>
    <s v="Individual"/>
    <s v="Mouse"/>
    <x v="1"/>
    <n v="3"/>
    <n v="940"/>
    <n v="0.03"/>
    <s v="Net Banking"/>
    <s v="Rohan Sharma"/>
    <x v="0"/>
    <n v="2820"/>
    <n v="84.6"/>
    <n v="2735.4"/>
    <n v="4"/>
    <x v="0"/>
  </r>
  <r>
    <s v="ORD-10091"/>
    <d v="2025-08-01T00:00:00"/>
    <x v="1"/>
    <s v="Pune"/>
    <x v="0"/>
    <s v="Individual"/>
    <s v="Monitor"/>
    <x v="0"/>
    <n v="4"/>
    <n v="15510"/>
    <n v="0"/>
    <s v="UPI"/>
    <s v="Aarav Mehta"/>
    <x v="0"/>
    <n v="62040"/>
    <n v="0"/>
    <n v="62040"/>
    <n v="4"/>
    <x v="1"/>
  </r>
  <r>
    <s v="ORD-10416"/>
    <d v="2025-08-01T00:00:00"/>
    <x v="1"/>
    <s v="Mumbai"/>
    <x v="0"/>
    <s v="Small Business"/>
    <s v="Monitor"/>
    <x v="0"/>
    <n v="1"/>
    <n v="17280"/>
    <n v="0.03"/>
    <s v="Credit Card"/>
    <s v="Neha Kapoor"/>
    <x v="0"/>
    <n v="17280"/>
    <n v="518.4"/>
    <n v="16761.599999999999"/>
    <n v="2"/>
    <x v="1"/>
  </r>
  <r>
    <s v="ORD-10402"/>
    <d v="2025-08-01T00:00:00"/>
    <x v="1"/>
    <s v="Surat"/>
    <x v="1"/>
    <s v="Individual"/>
    <s v="Printer"/>
    <x v="2"/>
    <n v="3"/>
    <n v="12550"/>
    <n v="0.1"/>
    <s v="Debit Card"/>
    <s v="Aarav Mehta"/>
    <x v="0"/>
    <n v="37650"/>
    <n v="3765"/>
    <n v="33885"/>
    <n v="2"/>
    <x v="1"/>
  </r>
  <r>
    <s v="ORD-10156"/>
    <d v="2025-08-03T00:00:00"/>
    <x v="0"/>
    <s v="Jaipur"/>
    <x v="1"/>
    <s v="Individual"/>
    <s v="Backpack"/>
    <x v="1"/>
    <n v="2"/>
    <n v="2560"/>
    <n v="0.05"/>
    <s v="Debit Card"/>
    <s v="Karan Patel"/>
    <x v="0"/>
    <n v="5120"/>
    <n v="256"/>
    <n v="4864"/>
    <n v="3"/>
    <x v="1"/>
  </r>
  <r>
    <s v="ORD-10082"/>
    <d v="2025-08-04T00:00:00"/>
    <x v="0"/>
    <s v="Lucknow"/>
    <x v="1"/>
    <s v="Small Business"/>
    <s v="Backpack"/>
    <x v="1"/>
    <n v="3"/>
    <n v="2500"/>
    <n v="0"/>
    <s v="UPI"/>
    <s v="Ananya Rao"/>
    <x v="0"/>
    <n v="7500"/>
    <n v="0"/>
    <n v="7500"/>
    <n v="3"/>
    <x v="1"/>
  </r>
  <r>
    <s v="ORD-10201"/>
    <d v="2025-08-04T00:00:00"/>
    <x v="2"/>
    <s v="Bengaluru"/>
    <x v="2"/>
    <s v="Small Business"/>
    <s v="Monitor"/>
    <x v="0"/>
    <n v="2"/>
    <n v="16570"/>
    <n v="0.05"/>
    <s v="UPI"/>
    <s v="Sneha Iyer"/>
    <x v="0"/>
    <n v="33140"/>
    <n v="1657"/>
    <n v="31483"/>
    <n v="5"/>
    <x v="1"/>
  </r>
  <r>
    <s v="ORD-10184"/>
    <d v="2025-08-04T00:00:00"/>
    <x v="0"/>
    <s v="Delhi"/>
    <x v="1"/>
    <s v="Individual"/>
    <s v="Keyboard"/>
    <x v="1"/>
    <n v="3"/>
    <n v="1850"/>
    <n v="0.05"/>
    <s v="UPI"/>
    <s v="Karan Patel"/>
    <x v="0"/>
    <n v="5550"/>
    <n v="277.5"/>
    <n v="5272.5"/>
    <n v="3"/>
    <x v="1"/>
  </r>
  <r>
    <s v="ORD-10288"/>
    <d v="2025-08-05T00:00:00"/>
    <x v="2"/>
    <s v="Kochi"/>
    <x v="2"/>
    <s v="Small Business"/>
    <s v="Wireless Headphones"/>
    <x v="0"/>
    <n v="4"/>
    <n v="3100"/>
    <n v="0.05"/>
    <s v="Cash on Delivery"/>
    <s v="Priya Nair"/>
    <x v="0"/>
    <n v="12400"/>
    <n v="620"/>
    <n v="11780"/>
    <n v="2"/>
    <x v="1"/>
  </r>
  <r>
    <s v="ORD-10159"/>
    <d v="2025-08-05T00:00:00"/>
    <x v="3"/>
    <s v="Bhubaneswar"/>
    <x v="0"/>
    <s v="Individual"/>
    <s v="External SSD"/>
    <x v="3"/>
    <n v="4"/>
    <n v="7300"/>
    <n v="0.1"/>
    <s v="UPI"/>
    <s v="Aarav Mehta"/>
    <x v="0"/>
    <n v="29200"/>
    <n v="2920"/>
    <n v="26280"/>
    <n v="2"/>
    <x v="1"/>
  </r>
  <r>
    <s v="ORD-10342"/>
    <d v="2025-08-05T00:00:00"/>
    <x v="1"/>
    <s v="Ahmedabad"/>
    <x v="1"/>
    <s v="Small Business"/>
    <s v="Monitor"/>
    <x v="0"/>
    <n v="2"/>
    <n v="15730"/>
    <n v="0.05"/>
    <s v="Cash on Delivery"/>
    <s v="Rohan Sharma"/>
    <x v="0"/>
    <n v="31460"/>
    <n v="1573"/>
    <n v="29887"/>
    <n v="4"/>
    <x v="1"/>
  </r>
  <r>
    <s v="ORD-10559"/>
    <d v="2025-08-06T00:00:00"/>
    <x v="1"/>
    <s v="Ahmedabad"/>
    <x v="0"/>
    <s v="Small Business"/>
    <s v="External SSD"/>
    <x v="3"/>
    <n v="1"/>
    <n v="6950"/>
    <n v="0.05"/>
    <s v="UPI"/>
    <s v="Sneha Iyer"/>
    <x v="0"/>
    <n v="6950"/>
    <n v="347.5"/>
    <n v="6602.5"/>
    <n v="5"/>
    <x v="1"/>
  </r>
  <r>
    <s v="ORD-10110"/>
    <d v="2025-08-06T00:00:00"/>
    <x v="1"/>
    <s v="Surat"/>
    <x v="1"/>
    <s v="Individual"/>
    <s v="Monitor"/>
    <x v="0"/>
    <n v="1"/>
    <n v="15970"/>
    <n v="0"/>
    <s v="Credit Card"/>
    <s v="Priya Nair"/>
    <x v="0"/>
    <n v="15970"/>
    <n v="0"/>
    <n v="15970"/>
    <n v="6"/>
    <x v="1"/>
  </r>
  <r>
    <s v="ORD-10332"/>
    <d v="2025-08-06T00:00:00"/>
    <x v="0"/>
    <s v="Unknown"/>
    <x v="2"/>
    <s v="Small Business"/>
    <s v="Webcam"/>
    <x v="1"/>
    <n v="1"/>
    <n v="3670"/>
    <n v="0"/>
    <s v="Debit Card"/>
    <s v="Aarav Mehta"/>
    <x v="0"/>
    <n v="3670"/>
    <n v="0"/>
    <n v="3670"/>
    <n v="2"/>
    <x v="1"/>
  </r>
  <r>
    <s v="ORD-10171"/>
    <d v="2025-08-08T00:00:00"/>
    <x v="2"/>
    <s v="Bengaluru"/>
    <x v="2"/>
    <s v="Small Business"/>
    <s v="Webcam"/>
    <x v="1"/>
    <n v="3"/>
    <n v="3770"/>
    <n v="0.03"/>
    <s v="UPI"/>
    <s v="Karan Patel"/>
    <x v="0"/>
    <n v="11310"/>
    <n v="339.3"/>
    <n v="10970.7"/>
    <n v="2"/>
    <x v="1"/>
  </r>
  <r>
    <s v="ORD-10030"/>
    <d v="2025-08-08T00:00:00"/>
    <x v="0"/>
    <s v="Delhi"/>
    <x v="2"/>
    <s v="Individual"/>
    <s v="Office Desk"/>
    <x v="4"/>
    <n v="5"/>
    <n v="14360"/>
    <n v="0.1"/>
    <s v="Debit Card"/>
    <s v="Rohan Sharma"/>
    <x v="0"/>
    <n v="71800"/>
    <n v="7180"/>
    <n v="64620"/>
    <n v="5"/>
    <x v="1"/>
  </r>
  <r>
    <s v="ORD-10264"/>
    <d v="2025-08-08T00:00:00"/>
    <x v="0"/>
    <s v="Lucknow"/>
    <x v="0"/>
    <s v="Individual"/>
    <s v="Wireless Headphones"/>
    <x v="0"/>
    <n v="4"/>
    <n v="3120"/>
    <n v="0.05"/>
    <s v="Debit Card"/>
    <s v="Neha Kapoor"/>
    <x v="0"/>
    <n v="12480"/>
    <n v="624"/>
    <n v="11856"/>
    <n v="3"/>
    <x v="1"/>
  </r>
  <r>
    <s v="ORD-10020"/>
    <d v="2025-08-10T00:00:00"/>
    <x v="3"/>
    <s v="Bhubaneswar"/>
    <x v="1"/>
    <s v="Individual"/>
    <s v="Mouse"/>
    <x v="1"/>
    <n v="3"/>
    <n v="960"/>
    <n v="0.15"/>
    <s v="Cash on Delivery"/>
    <s v="Sneha Iyer"/>
    <x v="0"/>
    <n v="2880"/>
    <n v="432"/>
    <n v="2448"/>
    <n v="6"/>
    <x v="1"/>
  </r>
  <r>
    <s v="ORD-10352"/>
    <d v="2025-08-10T00:00:00"/>
    <x v="2"/>
    <s v="Bengaluru"/>
    <x v="1"/>
    <s v="Individual"/>
    <s v="Mouse"/>
    <x v="1"/>
    <n v="2"/>
    <n v="920"/>
    <n v="0.08"/>
    <s v="UPI"/>
    <s v="Priya Nair"/>
    <x v="0"/>
    <n v="1840"/>
    <n v="147.19999999999999"/>
    <n v="1692.8"/>
    <n v="5"/>
    <x v="1"/>
  </r>
  <r>
    <s v="ORD-10055"/>
    <d v="2025-08-10T00:00:00"/>
    <x v="2"/>
    <s v="Kochi"/>
    <x v="0"/>
    <s v="Individual"/>
    <s v="Power Bank"/>
    <x v="1"/>
    <n v="1"/>
    <n v="1900"/>
    <n v="0.1"/>
    <s v="Net Banking"/>
    <s v="Aarav Mehta"/>
    <x v="0"/>
    <n v="1900"/>
    <n v="190"/>
    <n v="1710"/>
    <n v="4"/>
    <x v="1"/>
  </r>
  <r>
    <s v="ORD-10147"/>
    <d v="2025-08-11T00:00:00"/>
    <x v="1"/>
    <s v="Pune"/>
    <x v="1"/>
    <s v="Individual"/>
    <s v="Keyboard"/>
    <x v="1"/>
    <n v="1"/>
    <n v="1900"/>
    <n v="0.05"/>
    <s v="UPI"/>
    <s v="Aarav Mehta"/>
    <x v="0"/>
    <n v="1900"/>
    <n v="95"/>
    <n v="1805"/>
    <n v="4"/>
    <x v="1"/>
  </r>
  <r>
    <s v="ORD-10482"/>
    <d v="2025-08-11T00:00:00"/>
    <x v="1"/>
    <s v="Ahmedabad"/>
    <x v="2"/>
    <s v="Individual"/>
    <s v="Office Desk"/>
    <x v="4"/>
    <n v="1"/>
    <n v="14010"/>
    <n v="0"/>
    <s v="Credit Card"/>
    <s v="Neha Kapoor"/>
    <x v="0"/>
    <n v="14010"/>
    <n v="0"/>
    <n v="14010"/>
    <n v="1"/>
    <x v="1"/>
  </r>
  <r>
    <s v="ORD-10612"/>
    <d v="2025-08-12T00:00:00"/>
    <x v="2"/>
    <s v="Chennai"/>
    <x v="2"/>
    <s v="Individual"/>
    <s v="Webcam"/>
    <x v="1"/>
    <n v="1"/>
    <n v="3390"/>
    <n v="0.1"/>
    <s v="UPI"/>
    <s v="Neha Kapoor"/>
    <x v="0"/>
    <n v="3390"/>
    <n v="339"/>
    <n v="3051"/>
    <n v="2"/>
    <x v="1"/>
  </r>
  <r>
    <s v="ORD-10490"/>
    <d v="2025-08-12T00:00:00"/>
    <x v="0"/>
    <s v="Lucknow"/>
    <x v="1"/>
    <s v="Individual"/>
    <s v="Office Chair"/>
    <x v="4"/>
    <n v="1"/>
    <n v="11610"/>
    <n v="0"/>
    <s v="UPI"/>
    <s v="Neha Kapoor"/>
    <x v="0"/>
    <n v="11610"/>
    <n v="0"/>
    <n v="11610"/>
    <n v="6"/>
    <x v="1"/>
  </r>
  <r>
    <s v="ORD-10422"/>
    <d v="2025-08-13T00:00:00"/>
    <x v="1"/>
    <s v="Mumbai"/>
    <x v="1"/>
    <s v="Small Business"/>
    <s v="Laptop"/>
    <x v="0"/>
    <n v="4"/>
    <n v="63800"/>
    <n v="0.1"/>
    <s v="Cash on Delivery"/>
    <s v="Rohan Sharma"/>
    <x v="0"/>
    <n v="255200"/>
    <n v="25520"/>
    <n v="229680"/>
    <n v="5"/>
    <x v="1"/>
  </r>
  <r>
    <s v="ORD-10486"/>
    <d v="2025-08-14T00:00:00"/>
    <x v="2"/>
    <s v="Bengaluru"/>
    <x v="0"/>
    <s v="Enterprise"/>
    <s v="Printer"/>
    <x v="2"/>
    <n v="1"/>
    <n v="12800"/>
    <n v="0.05"/>
    <s v="Debit Card"/>
    <s v="Vikram Singh"/>
    <x v="0"/>
    <n v="12800"/>
    <n v="640"/>
    <n v="12160"/>
    <n v="1"/>
    <x v="1"/>
  </r>
  <r>
    <s v="ORD-10642"/>
    <d v="2025-08-14T00:00:00"/>
    <x v="2"/>
    <s v="Hyderabad"/>
    <x v="1"/>
    <s v="Small Business"/>
    <s v="Smartphone"/>
    <x v="0"/>
    <n v="1"/>
    <n v="29540"/>
    <n v="0.05"/>
    <s v="UPI"/>
    <s v="Aarav Mehta"/>
    <x v="0"/>
    <n v="29540"/>
    <n v="1477"/>
    <n v="28063"/>
    <n v="4"/>
    <x v="1"/>
  </r>
  <r>
    <s v="ORD-10041"/>
    <d v="2025-08-14T00:00:00"/>
    <x v="3"/>
    <s v="Bhubaneswar"/>
    <x v="0"/>
    <s v="Individual"/>
    <s v="Keyboard"/>
    <x v="1"/>
    <n v="3"/>
    <n v="1800"/>
    <n v="0"/>
    <s v="UPI"/>
    <s v="Sneha Iyer"/>
    <x v="0"/>
    <n v="5400"/>
    <n v="0"/>
    <n v="5400"/>
    <n v="3"/>
    <x v="1"/>
  </r>
  <r>
    <s v="ORD-10178"/>
    <d v="2025-08-15T00:00:00"/>
    <x v="0"/>
    <s v="Lucknow"/>
    <x v="0"/>
    <s v="Individual"/>
    <s v="Webcam"/>
    <x v="1"/>
    <n v="4"/>
    <n v="3690"/>
    <n v="0"/>
    <s v="Cash on Delivery"/>
    <s v="Aarav Mehta"/>
    <x v="0"/>
    <n v="14760"/>
    <n v="0"/>
    <n v="14760"/>
    <n v="3"/>
    <x v="1"/>
  </r>
  <r>
    <s v="ORD-10054"/>
    <d v="2025-08-16T00:00:00"/>
    <x v="1"/>
    <s v="Surat"/>
    <x v="0"/>
    <s v="Individual"/>
    <s v="Laptop"/>
    <x v="0"/>
    <n v="3"/>
    <n v="59340"/>
    <n v="0.1"/>
    <s v="Debit Card"/>
    <s v="Sneha Iyer"/>
    <x v="0"/>
    <n v="178020"/>
    <n v="17802"/>
    <n v="160218"/>
    <n v="2"/>
    <x v="1"/>
  </r>
  <r>
    <s v="ORD-10445"/>
    <d v="2025-08-18T00:00:00"/>
    <x v="2"/>
    <s v="Kochi"/>
    <x v="1"/>
    <s v="Individual"/>
    <s v="Power Bank"/>
    <x v="1"/>
    <n v="1"/>
    <n v="1740"/>
    <n v="0.15"/>
    <s v="Net Banking"/>
    <s v="Sneha Iyer"/>
    <x v="0"/>
    <n v="1740"/>
    <n v="261"/>
    <n v="1479"/>
    <n v="5"/>
    <x v="1"/>
  </r>
  <r>
    <s v="ORD-10534"/>
    <d v="2025-08-18T00:00:00"/>
    <x v="1"/>
    <s v="Surat"/>
    <x v="0"/>
    <s v="Small Business"/>
    <s v="Keyboard"/>
    <x v="1"/>
    <n v="2"/>
    <n v="1820"/>
    <n v="0.08"/>
    <s v="Credit Card"/>
    <s v="Sneha Iyer"/>
    <x v="0"/>
    <n v="3640"/>
    <n v="291.2"/>
    <n v="3348.8"/>
    <n v="6"/>
    <x v="1"/>
  </r>
  <r>
    <s v="ORD-10134"/>
    <d v="2025-08-19T00:00:00"/>
    <x v="0"/>
    <s v="Jaipur"/>
    <x v="1"/>
    <s v="Small Business"/>
    <s v="Office Chair"/>
    <x v="4"/>
    <n v="3"/>
    <n v="11710"/>
    <n v="0.03"/>
    <s v="Debit Card"/>
    <s v="Neha Kapoor"/>
    <x v="0"/>
    <n v="35130"/>
    <n v="1053.9000000000001"/>
    <n v="34076.1"/>
    <n v="4"/>
    <x v="1"/>
  </r>
  <r>
    <s v="ORD-10493"/>
    <d v="2025-08-20T00:00:00"/>
    <x v="1"/>
    <s v="Pune"/>
    <x v="0"/>
    <s v="Small Business"/>
    <s v="Office Chair"/>
    <x v="4"/>
    <n v="2"/>
    <n v="11560"/>
    <n v="0.05"/>
    <s v="Credit Card"/>
    <s v="Aarav Mehta"/>
    <x v="0"/>
    <n v="23120"/>
    <n v="1156"/>
    <n v="21964"/>
    <n v="3"/>
    <x v="1"/>
  </r>
  <r>
    <s v="ORD-10213"/>
    <d v="2025-08-20T00:00:00"/>
    <x v="1"/>
    <s v="Pune"/>
    <x v="1"/>
    <s v="Individual"/>
    <s v="Wireless Headphones"/>
    <x v="0"/>
    <n v="2"/>
    <n v="3290"/>
    <n v="0.1"/>
    <s v="Credit Card"/>
    <s v="Priya Nair"/>
    <x v="0"/>
    <n v="6580"/>
    <n v="658"/>
    <n v="5922"/>
    <n v="1"/>
    <x v="1"/>
  </r>
  <r>
    <s v="ORD-10247"/>
    <d v="2025-08-21T00:00:00"/>
    <x v="2"/>
    <s v="Hyderabad"/>
    <x v="1"/>
    <s v="Individual"/>
    <s v="Office Chair"/>
    <x v="4"/>
    <n v="2"/>
    <n v="12160"/>
    <n v="0.08"/>
    <s v="Debit Card"/>
    <s v="Vikram Singh"/>
    <x v="0"/>
    <n v="24320"/>
    <n v="1945.6"/>
    <n v="22374.400000000001"/>
    <n v="5"/>
    <x v="1"/>
  </r>
  <r>
    <s v="ORD-10405"/>
    <d v="2025-08-21T00:00:00"/>
    <x v="1"/>
    <s v="Surat"/>
    <x v="1"/>
    <s v="Individual"/>
    <s v="External SSD"/>
    <x v="3"/>
    <n v="1"/>
    <n v="6800"/>
    <n v="0"/>
    <s v="UPI"/>
    <s v="Ananya Rao"/>
    <x v="0"/>
    <n v="6800"/>
    <n v="0"/>
    <n v="6800"/>
    <n v="4"/>
    <x v="1"/>
  </r>
  <r>
    <s v="ORD-10468"/>
    <d v="2025-08-21T00:00:00"/>
    <x v="1"/>
    <s v="Pune"/>
    <x v="1"/>
    <s v="Small Business"/>
    <s v="Printer"/>
    <x v="2"/>
    <n v="2"/>
    <n v="13290"/>
    <n v="0.15"/>
    <s v="Net Banking"/>
    <s v="Priya Nair"/>
    <x v="0"/>
    <n v="26580"/>
    <n v="3987"/>
    <n v="22593"/>
    <n v="1"/>
    <x v="1"/>
  </r>
  <r>
    <s v="ORD-10051"/>
    <d v="2025-08-21T00:00:00"/>
    <x v="2"/>
    <s v="Bengaluru"/>
    <x v="1"/>
    <s v="Small Business"/>
    <s v="Power Bank"/>
    <x v="1"/>
    <n v="2"/>
    <n v="1680"/>
    <n v="0.08"/>
    <s v="Net Banking"/>
    <s v="Karan Patel"/>
    <x v="0"/>
    <n v="3360"/>
    <n v="268.8"/>
    <n v="3091.2"/>
    <n v="7"/>
    <x v="1"/>
  </r>
  <r>
    <s v="ORD-10574"/>
    <d v="2025-08-22T00:00:00"/>
    <x v="0"/>
    <s v="Delhi"/>
    <x v="1"/>
    <s v="Individual"/>
    <s v="Tablet"/>
    <x v="0"/>
    <n v="3"/>
    <n v="21180"/>
    <n v="0.03"/>
    <s v="Credit Card"/>
    <s v="Ananya Rao"/>
    <x v="0"/>
    <n v="63540"/>
    <n v="1906.2"/>
    <n v="61633.8"/>
    <n v="3"/>
    <x v="1"/>
  </r>
  <r>
    <s v="ORD-10124"/>
    <d v="2025-08-22T00:00:00"/>
    <x v="3"/>
    <s v="Kolkata"/>
    <x v="1"/>
    <s v="Individual"/>
    <s v="Wireless Headphones"/>
    <x v="0"/>
    <n v="2"/>
    <n v="3380"/>
    <n v="0.05"/>
    <s v="Debit Card"/>
    <s v="Aarav Mehta"/>
    <x v="0"/>
    <n v="6760"/>
    <n v="338"/>
    <n v="6422"/>
    <n v="1"/>
    <x v="1"/>
  </r>
  <r>
    <s v="ORD-10248"/>
    <d v="2025-08-22T00:00:00"/>
    <x v="0"/>
    <s v="Noida"/>
    <x v="1"/>
    <s v="Individual"/>
    <s v="Wireless Headphones"/>
    <x v="0"/>
    <n v="1"/>
    <n v="3300"/>
    <n v="0.03"/>
    <s v="Debit Card"/>
    <s v="Neha Kapoor"/>
    <x v="0"/>
    <n v="3300"/>
    <n v="99"/>
    <n v="3201"/>
    <n v="4"/>
    <x v="1"/>
  </r>
  <r>
    <s v="ORD-10497"/>
    <d v="2025-08-22T00:00:00"/>
    <x v="3"/>
    <s v="Kolkata"/>
    <x v="0"/>
    <s v="Individual"/>
    <s v="External SSD"/>
    <x v="3"/>
    <n v="5"/>
    <n v="7230"/>
    <n v="0.05"/>
    <s v="Net Banking"/>
    <s v="Neha Kapoor"/>
    <x v="0"/>
    <n v="36150"/>
    <n v="1807.5"/>
    <n v="34342.5"/>
    <n v="6"/>
    <x v="1"/>
  </r>
  <r>
    <s v="ORD-10599"/>
    <d v="2025-08-22T00:00:00"/>
    <x v="2"/>
    <s v="Chennai"/>
    <x v="1"/>
    <s v="Small Business"/>
    <s v="Keyboard"/>
    <x v="1"/>
    <n v="1"/>
    <n v="1720"/>
    <n v="0"/>
    <s v="Debit Card"/>
    <s v="Sneha Iyer"/>
    <x v="0"/>
    <n v="1720"/>
    <n v="0"/>
    <n v="1720"/>
    <n v="2"/>
    <x v="1"/>
  </r>
  <r>
    <s v="ORD-10066"/>
    <d v="2025-08-22T00:00:00"/>
    <x v="1"/>
    <s v="Pune"/>
    <x v="1"/>
    <s v="Small Business"/>
    <s v="Power Bank"/>
    <x v="1"/>
    <n v="1"/>
    <n v="1840"/>
    <n v="0.08"/>
    <s v="UPI"/>
    <s v="Karan Patel"/>
    <x v="0"/>
    <n v="1840"/>
    <n v="147.19999999999999"/>
    <n v="1692.8"/>
    <n v="4"/>
    <x v="1"/>
  </r>
  <r>
    <s v="ORD-10372"/>
    <d v="2025-08-22T00:00:00"/>
    <x v="1"/>
    <s v="Mumbai"/>
    <x v="0"/>
    <s v="Small Business"/>
    <s v="Mouse"/>
    <x v="1"/>
    <n v="2"/>
    <n v="920"/>
    <n v="0.08"/>
    <s v="UPI"/>
    <s v="Priya Nair"/>
    <x v="0"/>
    <n v="1840"/>
    <n v="147.19999999999999"/>
    <n v="1692.8"/>
    <n v="2"/>
    <x v="1"/>
  </r>
  <r>
    <s v="ORD-10323"/>
    <d v="2025-08-24T00:00:00"/>
    <x v="2"/>
    <s v="Bengaluru"/>
    <x v="1"/>
    <s v="Individual"/>
    <s v="Webcam"/>
    <x v="1"/>
    <n v="1"/>
    <n v="3620"/>
    <n v="0.15"/>
    <s v="Net Banking"/>
    <s v="Sneha Iyer"/>
    <x v="0"/>
    <n v="3620"/>
    <n v="543"/>
    <n v="3077"/>
    <n v="6"/>
    <x v="1"/>
  </r>
  <r>
    <s v="ORD-10617"/>
    <d v="2025-08-24T00:00:00"/>
    <x v="2"/>
    <s v="Bengaluru"/>
    <x v="1"/>
    <s v="Individual"/>
    <s v="Smartphone"/>
    <x v="0"/>
    <n v="1"/>
    <n v="27090"/>
    <n v="0.08"/>
    <s v="Net Banking"/>
    <s v="Ananya Rao"/>
    <x v="0"/>
    <n v="27090"/>
    <n v="2167.1999999999998"/>
    <n v="24922.799999999999"/>
    <n v="2"/>
    <x v="1"/>
  </r>
  <r>
    <s v="ORD-10462"/>
    <d v="2025-08-26T00:00:00"/>
    <x v="0"/>
    <s v="Noida"/>
    <x v="1"/>
    <s v="Individual"/>
    <s v="Monitor"/>
    <x v="0"/>
    <n v="1"/>
    <n v="17210"/>
    <n v="0.08"/>
    <s v="UPI"/>
    <s v="Ananya Rao"/>
    <x v="0"/>
    <n v="17210"/>
    <n v="1376.8"/>
    <n v="15833.2"/>
    <n v="4"/>
    <x v="1"/>
  </r>
  <r>
    <s v="ORD-10172"/>
    <d v="2025-08-27T00:00:00"/>
    <x v="0"/>
    <s v="Lucknow"/>
    <x v="1"/>
    <s v="Individual"/>
    <s v="Keyboard"/>
    <x v="1"/>
    <n v="1"/>
    <n v="1900"/>
    <n v="0.05"/>
    <s v="Credit Card"/>
    <s v="Priya Nair"/>
    <x v="0"/>
    <n v="1900"/>
    <n v="95"/>
    <n v="1805"/>
    <n v="2"/>
    <x v="1"/>
  </r>
  <r>
    <s v="ORD-10214"/>
    <d v="2025-08-27T00:00:00"/>
    <x v="2"/>
    <s v="Bengaluru"/>
    <x v="1"/>
    <s v="Individual"/>
    <s v="Printer"/>
    <x v="2"/>
    <n v="1"/>
    <n v="12880"/>
    <n v="0.15"/>
    <s v="Debit Card"/>
    <s v="Priya Nair"/>
    <x v="0"/>
    <n v="12880"/>
    <n v="1932"/>
    <n v="10948"/>
    <n v="4"/>
    <x v="1"/>
  </r>
  <r>
    <s v="ORD-10417"/>
    <d v="2025-08-28T00:00:00"/>
    <x v="2"/>
    <s v="Bengaluru"/>
    <x v="1"/>
    <s v="Enterprise"/>
    <s v="Printer"/>
    <x v="2"/>
    <n v="1"/>
    <n v="12720"/>
    <n v="0.05"/>
    <s v="Credit Card"/>
    <s v="Karan Patel"/>
    <x v="0"/>
    <n v="12720"/>
    <n v="636"/>
    <n v="12084"/>
    <n v="6"/>
    <x v="1"/>
  </r>
  <r>
    <s v="ORD-10391"/>
    <d v="2025-08-28T00:00:00"/>
    <x v="0"/>
    <s v="Jaipur"/>
    <x v="1"/>
    <s v="Individual"/>
    <s v="Keyboard"/>
    <x v="1"/>
    <n v="2"/>
    <n v="1730"/>
    <n v="0.1"/>
    <s v="Credit Card"/>
    <s v="Neha Kapoor"/>
    <x v="0"/>
    <n v="3460"/>
    <n v="346"/>
    <n v="3114"/>
    <n v="3"/>
    <x v="1"/>
  </r>
  <r>
    <s v="ORD-10545"/>
    <d v="2025-08-28T00:00:00"/>
    <x v="2"/>
    <s v="Chennai"/>
    <x v="1"/>
    <s v="Individual"/>
    <s v="Printer"/>
    <x v="2"/>
    <n v="2"/>
    <n v="12320"/>
    <n v="0"/>
    <s v="Cash on Delivery"/>
    <s v="Vikram Singh"/>
    <x v="0"/>
    <n v="24640"/>
    <n v="0"/>
    <n v="24640"/>
    <n v="7"/>
    <x v="1"/>
  </r>
  <r>
    <s v="ORD-10333"/>
    <d v="2025-08-28T00:00:00"/>
    <x v="1"/>
    <s v="Surat"/>
    <x v="2"/>
    <s v="Individual"/>
    <s v="Wireless Headphones"/>
    <x v="0"/>
    <n v="1"/>
    <n v="3080"/>
    <n v="0.1"/>
    <s v="UPI"/>
    <s v="Priya Nair"/>
    <x v="0"/>
    <n v="3080"/>
    <n v="308"/>
    <n v="2772"/>
    <n v="3"/>
    <x v="1"/>
  </r>
  <r>
    <s v="ORD-10568"/>
    <d v="2025-08-28T00:00:00"/>
    <x v="3"/>
    <s v="Bhubaneswar"/>
    <x v="1"/>
    <s v="Individual"/>
    <s v="Mouse"/>
    <x v="1"/>
    <n v="3"/>
    <n v="950"/>
    <n v="0.05"/>
    <s v="UPI"/>
    <s v="Rohan Sharma"/>
    <x v="0"/>
    <n v="2850"/>
    <n v="142.5"/>
    <n v="2707.5"/>
    <n v="3"/>
    <x v="1"/>
  </r>
  <r>
    <s v="ORD-10567"/>
    <d v="2025-08-28T00:00:00"/>
    <x v="1"/>
    <s v="Surat"/>
    <x v="1"/>
    <s v="Enterprise"/>
    <s v="Laptop"/>
    <x v="0"/>
    <n v="2"/>
    <n v="58020"/>
    <n v="0.03"/>
    <s v="Debit Card"/>
    <s v="Priya Nair"/>
    <x v="0"/>
    <n v="116040"/>
    <n v="3481.2"/>
    <n v="112558.8"/>
    <n v="6"/>
    <x v="1"/>
  </r>
  <r>
    <s v="ORD-10399"/>
    <d v="2025-08-29T00:00:00"/>
    <x v="3"/>
    <s v="Kolkata"/>
    <x v="1"/>
    <s v="Enterprise"/>
    <s v="Wireless Headphones"/>
    <x v="0"/>
    <n v="1"/>
    <n v="3330"/>
    <n v="0.05"/>
    <s v="Net Banking"/>
    <s v="Karan Patel"/>
    <x v="0"/>
    <n v="3330"/>
    <n v="166.5"/>
    <n v="3163.5"/>
    <n v="4"/>
    <x v="1"/>
  </r>
  <r>
    <s v="ORD-10436"/>
    <d v="2025-08-29T00:00:00"/>
    <x v="0"/>
    <s v="Jaipur"/>
    <x v="0"/>
    <s v="Individual"/>
    <s v="Office Chair"/>
    <x v="4"/>
    <n v="2"/>
    <n v="10780"/>
    <n v="0.08"/>
    <s v="Debit Card"/>
    <s v="Neha Kapoor"/>
    <x v="0"/>
    <n v="21560"/>
    <n v="1724.8"/>
    <n v="19835.2"/>
    <n v="2"/>
    <x v="1"/>
  </r>
  <r>
    <s v="ORD-10072"/>
    <d v="2025-09-01T00:00:00"/>
    <x v="2"/>
    <s v="Kochi"/>
    <x v="0"/>
    <s v="Small Business"/>
    <s v="Webcam"/>
    <x v="1"/>
    <n v="1"/>
    <n v="3750"/>
    <n v="0.08"/>
    <s v="UPI"/>
    <s v="Rohan Sharma"/>
    <x v="1"/>
    <n v="0"/>
    <n v="0"/>
    <n v="0"/>
    <m/>
    <x v="2"/>
  </r>
  <r>
    <s v="ORD-10273"/>
    <d v="2025-09-01T00:00:00"/>
    <x v="1"/>
    <s v="Surat"/>
    <x v="0"/>
    <s v="Individual"/>
    <s v="Mouse"/>
    <x v="1"/>
    <n v="1"/>
    <n v="910"/>
    <n v="0.15"/>
    <s v="Debit Card"/>
    <s v="Ananya Rao"/>
    <x v="0"/>
    <n v="910"/>
    <n v="136.5"/>
    <n v="773.5"/>
    <n v="3"/>
    <x v="2"/>
  </r>
  <r>
    <s v="ORD-10060"/>
    <d v="2025-09-01T00:00:00"/>
    <x v="1"/>
    <s v="Surat"/>
    <x v="2"/>
    <s v="Individual"/>
    <s v="Smartphone"/>
    <x v="0"/>
    <n v="4"/>
    <n v="27810"/>
    <n v="0.03"/>
    <s v="Credit Card"/>
    <s v="Karan Patel"/>
    <x v="0"/>
    <n v="111240"/>
    <n v="3337.2"/>
    <n v="107902.8"/>
    <n v="5"/>
    <x v="2"/>
  </r>
  <r>
    <s v="ORD-10369"/>
    <d v="2025-09-03T00:00:00"/>
    <x v="2"/>
    <s v="Bengaluru"/>
    <x v="1"/>
    <s v="Individual"/>
    <s v="External SSD"/>
    <x v="3"/>
    <n v="1"/>
    <n v="6750"/>
    <n v="0"/>
    <s v="Net Banking"/>
    <s v="Rohan Sharma"/>
    <x v="0"/>
    <n v="6750"/>
    <n v="0"/>
    <n v="6750"/>
    <n v="6"/>
    <x v="2"/>
  </r>
  <r>
    <s v="ORD-10452"/>
    <d v="2025-09-03T00:00:00"/>
    <x v="1"/>
    <s v="Mumbai"/>
    <x v="1"/>
    <s v="Individual"/>
    <s v="Backpack"/>
    <x v="1"/>
    <n v="1"/>
    <n v="2450"/>
    <n v="0"/>
    <s v="UPI"/>
    <s v="Ananya Rao"/>
    <x v="0"/>
    <n v="2450"/>
    <n v="0"/>
    <n v="2450"/>
    <n v="2"/>
    <x v="2"/>
  </r>
  <r>
    <s v="ORD-10363"/>
    <d v="2025-09-04T00:00:00"/>
    <x v="2"/>
    <s v="Hyderabad"/>
    <x v="1"/>
    <s v="Individual"/>
    <s v="Monitor"/>
    <x v="0"/>
    <n v="5"/>
    <n v="15940"/>
    <n v="0.1"/>
    <s v="Net Banking"/>
    <s v="Rohan Sharma"/>
    <x v="0"/>
    <n v="79700"/>
    <n v="7970"/>
    <n v="71730"/>
    <n v="2"/>
    <x v="2"/>
  </r>
  <r>
    <s v="ORD-10033"/>
    <d v="2025-09-04T00:00:00"/>
    <x v="1"/>
    <s v="Pune"/>
    <x v="1"/>
    <s v="Individual"/>
    <s v="External SSD"/>
    <x v="3"/>
    <n v="5"/>
    <n v="7250"/>
    <n v="0.08"/>
    <s v="Credit Card"/>
    <s v="Rohan Sharma"/>
    <x v="0"/>
    <n v="36250"/>
    <n v="2900"/>
    <n v="33350"/>
    <n v="2"/>
    <x v="2"/>
  </r>
  <r>
    <s v="ORD-10249"/>
    <d v="2025-09-04T00:00:00"/>
    <x v="2"/>
    <s v="Hyderabad"/>
    <x v="0"/>
    <s v="Small Business"/>
    <s v="Tablet"/>
    <x v="0"/>
    <n v="2"/>
    <n v="22660"/>
    <n v="0.05"/>
    <s v="Credit Card"/>
    <s v="Sneha Iyer"/>
    <x v="0"/>
    <n v="45320"/>
    <n v="2266"/>
    <n v="43054"/>
    <n v="4"/>
    <x v="2"/>
  </r>
  <r>
    <s v="ORD-10315"/>
    <d v="2025-09-06T00:00:00"/>
    <x v="2"/>
    <s v="Bengaluru"/>
    <x v="0"/>
    <s v="Small Business"/>
    <s v="Smartphone"/>
    <x v="0"/>
    <n v="4"/>
    <n v="26590"/>
    <n v="0.08"/>
    <s v="Debit Card"/>
    <s v="Aarav Mehta"/>
    <x v="0"/>
    <n v="106360"/>
    <n v="8508.7999999999993"/>
    <n v="97851.199999999997"/>
    <n v="7"/>
    <x v="2"/>
  </r>
  <r>
    <s v="ORD-10300"/>
    <d v="2025-09-07T00:00:00"/>
    <x v="2"/>
    <s v="Hyderabad"/>
    <x v="1"/>
    <s v="Small Business"/>
    <s v="Mouse"/>
    <x v="1"/>
    <n v="2"/>
    <n v="910"/>
    <n v="0"/>
    <s v="Credit Card"/>
    <s v="Neha Kapoor"/>
    <x v="0"/>
    <n v="1820"/>
    <n v="0"/>
    <n v="1820"/>
    <n v="3"/>
    <x v="2"/>
  </r>
  <r>
    <s v="ORD-10608"/>
    <d v="2025-09-07T00:00:00"/>
    <x v="2"/>
    <s v="Kochi"/>
    <x v="0"/>
    <s v="Individual"/>
    <s v="Mouse"/>
    <x v="1"/>
    <n v="3"/>
    <n v="910"/>
    <n v="0.05"/>
    <s v="Credit Card"/>
    <s v="Ananya Rao"/>
    <x v="0"/>
    <n v="2730"/>
    <n v="136.5"/>
    <n v="2593.5"/>
    <n v="3"/>
    <x v="2"/>
  </r>
  <r>
    <s v="ORD-10277"/>
    <d v="2025-09-07T00:00:00"/>
    <x v="2"/>
    <s v="Hyderabad"/>
    <x v="1"/>
    <s v="Individual"/>
    <s v="Tablet"/>
    <x v="0"/>
    <n v="1"/>
    <n v="22380"/>
    <n v="0"/>
    <s v="Credit Card"/>
    <s v="Sneha Iyer"/>
    <x v="0"/>
    <n v="22380"/>
    <n v="0"/>
    <n v="22380"/>
    <n v="3"/>
    <x v="2"/>
  </r>
  <r>
    <s v="ORD-10573"/>
    <d v="2025-09-08T00:00:00"/>
    <x v="0"/>
    <s v="Lucknow"/>
    <x v="1"/>
    <s v="Enterprise"/>
    <s v="Backpack"/>
    <x v="1"/>
    <n v="1"/>
    <n v="2480"/>
    <n v="0"/>
    <s v="Credit Card"/>
    <s v="Sneha Iyer"/>
    <x v="0"/>
    <n v="2480"/>
    <n v="0"/>
    <n v="2480"/>
    <n v="2"/>
    <x v="2"/>
  </r>
  <r>
    <s v="ORD-10395"/>
    <d v="2025-09-08T00:00:00"/>
    <x v="1"/>
    <s v="Mumbai"/>
    <x v="0"/>
    <s v="Individual"/>
    <s v="Wireless Headphones"/>
    <x v="0"/>
    <n v="2"/>
    <n v="3340"/>
    <n v="0"/>
    <s v="Net Banking"/>
    <s v="Unknown"/>
    <x v="0"/>
    <n v="6680"/>
    <n v="0"/>
    <n v="6680"/>
    <n v="4"/>
    <x v="2"/>
  </r>
  <r>
    <s v="ORD-10435"/>
    <d v="2025-09-08T00:00:00"/>
    <x v="1"/>
    <s v="Surat"/>
    <x v="1"/>
    <s v="Small Business"/>
    <s v="Webcam"/>
    <x v="1"/>
    <n v="4"/>
    <n v="3520"/>
    <n v="0.05"/>
    <s v="Debit Card"/>
    <s v="Priya Nair"/>
    <x v="0"/>
    <n v="14080"/>
    <n v="704"/>
    <n v="13376"/>
    <n v="3"/>
    <x v="2"/>
  </r>
  <r>
    <s v="ORD-10282"/>
    <d v="2025-09-08T00:00:00"/>
    <x v="2"/>
    <s v="Hyderabad"/>
    <x v="2"/>
    <s v="Individual"/>
    <s v="Monitor"/>
    <x v="0"/>
    <n v="3"/>
    <n v="17020"/>
    <n v="0.05"/>
    <s v="UPI"/>
    <s v="Neha Kapoor"/>
    <x v="0"/>
    <n v="51060"/>
    <n v="2553"/>
    <n v="48507"/>
    <n v="4"/>
    <x v="2"/>
  </r>
  <r>
    <s v="ORD-10510"/>
    <d v="2025-09-09T00:00:00"/>
    <x v="1"/>
    <s v="Mumbai"/>
    <x v="1"/>
    <s v="Small Business"/>
    <s v="Office Desk"/>
    <x v="4"/>
    <n v="1"/>
    <n v="14090"/>
    <n v="0.05"/>
    <s v="UPI"/>
    <s v="Karan Patel"/>
    <x v="0"/>
    <n v="14090"/>
    <n v="704.5"/>
    <n v="13385.5"/>
    <n v="1"/>
    <x v="2"/>
  </r>
  <r>
    <s v="ORD-10137"/>
    <d v="2025-09-09T00:00:00"/>
    <x v="0"/>
    <s v="Jaipur"/>
    <x v="1"/>
    <s v="Individual"/>
    <s v="Office Chair"/>
    <x v="4"/>
    <n v="2"/>
    <n v="11840"/>
    <n v="0.1"/>
    <s v="Net Banking"/>
    <s v="Neha Kapoor"/>
    <x v="0"/>
    <n v="23680"/>
    <n v="2368"/>
    <n v="21312"/>
    <n v="5"/>
    <x v="2"/>
  </r>
  <r>
    <s v="ORD-10269"/>
    <d v="2025-09-09T00:00:00"/>
    <x v="1"/>
    <s v="Pune"/>
    <x v="1"/>
    <s v="Small Business"/>
    <s v="Laptop"/>
    <x v="0"/>
    <n v="1"/>
    <n v="61250"/>
    <n v="0.03"/>
    <s v="UPI"/>
    <s v="Vikram Singh"/>
    <x v="0"/>
    <n v="61250"/>
    <n v="1837.5"/>
    <n v="59412.5"/>
    <n v="5"/>
    <x v="2"/>
  </r>
  <r>
    <s v="ORD-10418"/>
    <d v="2025-09-10T00:00:00"/>
    <x v="3"/>
    <s v="Guwahati"/>
    <x v="1"/>
    <s v="Individual"/>
    <s v="Smartphone"/>
    <x v="0"/>
    <n v="3"/>
    <n v="27950"/>
    <n v="0.05"/>
    <s v="UPI"/>
    <s v="Neha Kapoor"/>
    <x v="0"/>
    <n v="83850"/>
    <n v="4192.5"/>
    <n v="79657.5"/>
    <n v="4"/>
    <x v="2"/>
  </r>
  <r>
    <s v="ORD-10148"/>
    <d v="2025-09-11T00:00:00"/>
    <x v="0"/>
    <s v="Delhi"/>
    <x v="1"/>
    <s v="Individual"/>
    <s v="Printer"/>
    <x v="2"/>
    <n v="1"/>
    <n v="11840"/>
    <n v="0.03"/>
    <s v="UPI"/>
    <s v="Karan Patel"/>
    <x v="0"/>
    <n v="11840"/>
    <n v="355.2"/>
    <n v="11484.8"/>
    <n v="3"/>
    <x v="2"/>
  </r>
  <r>
    <s v="ORD-10623"/>
    <d v="2025-09-11T00:00:00"/>
    <x v="1"/>
    <s v="Ahmedabad"/>
    <x v="2"/>
    <s v="Individual"/>
    <s v="Office Chair"/>
    <x v="4"/>
    <n v="3"/>
    <n v="10760"/>
    <n v="0.1"/>
    <s v="UPI"/>
    <s v="Priya Nair"/>
    <x v="0"/>
    <n v="32280"/>
    <n v="3228"/>
    <n v="29052"/>
    <n v="3"/>
    <x v="2"/>
  </r>
  <r>
    <s v="ORD-10101"/>
    <d v="2025-09-12T00:00:00"/>
    <x v="3"/>
    <s v="Bhubaneswar"/>
    <x v="0"/>
    <s v="Individual"/>
    <s v="Office Desk"/>
    <x v="4"/>
    <n v="2"/>
    <n v="14850"/>
    <n v="0.08"/>
    <s v="Net Banking"/>
    <s v="Priya Nair"/>
    <x v="0"/>
    <n v="29700"/>
    <n v="2376"/>
    <n v="27324"/>
    <n v="4"/>
    <x v="2"/>
  </r>
  <r>
    <s v="ORD-10367"/>
    <d v="2025-09-12T00:00:00"/>
    <x v="2"/>
    <s v="Hyderabad"/>
    <x v="1"/>
    <s v="Enterprise"/>
    <s v="Mouse"/>
    <x v="1"/>
    <n v="1"/>
    <n v="990"/>
    <n v="0.08"/>
    <s v="UPI"/>
    <s v="Neha Kapoor"/>
    <x v="0"/>
    <n v="990"/>
    <n v="79.2"/>
    <n v="910.8"/>
    <n v="7"/>
    <x v="2"/>
  </r>
  <r>
    <s v="ORD-10428"/>
    <d v="2025-09-13T00:00:00"/>
    <x v="1"/>
    <s v="Mumbai"/>
    <x v="1"/>
    <s v="Individual"/>
    <s v="Laptop"/>
    <x v="0"/>
    <n v="1"/>
    <n v="59920"/>
    <n v="0.05"/>
    <s v="Cash on Delivery"/>
    <s v="Rohan Sharma"/>
    <x v="0"/>
    <n v="59920"/>
    <n v="2996"/>
    <n v="56924"/>
    <n v="2"/>
    <x v="2"/>
  </r>
  <r>
    <s v="ORD-10291"/>
    <d v="2025-09-13T00:00:00"/>
    <x v="2"/>
    <s v="Bengaluru"/>
    <x v="2"/>
    <s v="Small Business"/>
    <s v="Wireless Headphones"/>
    <x v="0"/>
    <n v="3"/>
    <n v="3280"/>
    <n v="0.05"/>
    <s v="Cash on Delivery"/>
    <s v="Aarav Mehta"/>
    <x v="0"/>
    <n v="9840"/>
    <n v="492"/>
    <n v="9348"/>
    <n v="3"/>
    <x v="2"/>
  </r>
  <r>
    <s v="ORD-10335"/>
    <d v="2025-09-14T00:00:00"/>
    <x v="1"/>
    <s v="Mumbai"/>
    <x v="1"/>
    <s v="Individual"/>
    <s v="Keyboard"/>
    <x v="1"/>
    <n v="2"/>
    <n v="1870"/>
    <n v="0.05"/>
    <s v="UPI"/>
    <s v="Rohan Sharma"/>
    <x v="0"/>
    <n v="3740"/>
    <n v="187"/>
    <n v="3553"/>
    <n v="3"/>
    <x v="2"/>
  </r>
  <r>
    <s v="ORD-10281"/>
    <d v="2025-09-14T00:00:00"/>
    <x v="2"/>
    <s v="Kochi"/>
    <x v="1"/>
    <s v="Individual"/>
    <s v="Wireless Headphones"/>
    <x v="0"/>
    <n v="3"/>
    <n v="3130"/>
    <n v="0.03"/>
    <s v="UPI"/>
    <s v="Vikram Singh"/>
    <x v="0"/>
    <n v="9390"/>
    <n v="281.7"/>
    <n v="9108.2999999999993"/>
    <n v="3"/>
    <x v="2"/>
  </r>
  <r>
    <s v="ORD-10217"/>
    <d v="2025-09-15T00:00:00"/>
    <x v="1"/>
    <s v="Pune"/>
    <x v="1"/>
    <s v="Individual"/>
    <s v="External SSD"/>
    <x v="3"/>
    <n v="2"/>
    <n v="7070"/>
    <n v="0.03"/>
    <s v="Credit Card"/>
    <s v="Karan Patel"/>
    <x v="0"/>
    <n v="14140"/>
    <n v="424.2"/>
    <n v="13715.8"/>
    <n v="3"/>
    <x v="2"/>
  </r>
  <r>
    <s v="ORD-10626"/>
    <d v="2025-09-15T00:00:00"/>
    <x v="1"/>
    <s v="Ahmedabad"/>
    <x v="2"/>
    <s v="Individual"/>
    <s v="Smartphone"/>
    <x v="0"/>
    <n v="1"/>
    <n v="29650"/>
    <n v="0.1"/>
    <s v="Cash on Delivery"/>
    <s v="Neha Kapoor"/>
    <x v="0"/>
    <n v="29650"/>
    <n v="2965"/>
    <n v="26685"/>
    <n v="2"/>
    <x v="2"/>
  </r>
  <r>
    <s v="ORD-10550"/>
    <d v="2025-09-16T00:00:00"/>
    <x v="0"/>
    <s v="Lucknow"/>
    <x v="2"/>
    <s v="Individual"/>
    <s v="Mouse"/>
    <x v="1"/>
    <n v="3"/>
    <n v="970"/>
    <n v="0.15"/>
    <s v="UPI"/>
    <s v="Vikram Singh"/>
    <x v="0"/>
    <n v="2910"/>
    <n v="436.5"/>
    <n v="2473.5"/>
    <n v="6"/>
    <x v="2"/>
  </r>
  <r>
    <s v="ORD-10199"/>
    <d v="2025-09-16T00:00:00"/>
    <x v="2"/>
    <s v="Bengaluru"/>
    <x v="1"/>
    <s v="Individual"/>
    <s v="External SSD"/>
    <x v="3"/>
    <n v="1"/>
    <n v="7180"/>
    <n v="0.1"/>
    <s v="Net Banking"/>
    <s v="Karan Patel"/>
    <x v="0"/>
    <n v="7180"/>
    <n v="718"/>
    <n v="6462"/>
    <n v="2"/>
    <x v="2"/>
  </r>
  <r>
    <s v="ORD-10439"/>
    <d v="2025-09-18T00:00:00"/>
    <x v="1"/>
    <s v="Surat"/>
    <x v="2"/>
    <s v="Small Business"/>
    <s v="Keyboard"/>
    <x v="1"/>
    <n v="2"/>
    <n v="1870"/>
    <n v="0.03"/>
    <s v="Net Banking"/>
    <s v="Priya Nair"/>
    <x v="0"/>
    <n v="3740"/>
    <n v="112.2"/>
    <n v="3627.8"/>
    <n v="3"/>
    <x v="2"/>
  </r>
  <r>
    <s v="ORD-10115"/>
    <d v="2025-09-18T00:00:00"/>
    <x v="3"/>
    <s v="Guwahati"/>
    <x v="1"/>
    <s v="Individual"/>
    <s v="Office Chair"/>
    <x v="4"/>
    <n v="1"/>
    <n v="12120"/>
    <n v="0.05"/>
    <s v="Credit Card"/>
    <s v="Aarav Mehta"/>
    <x v="0"/>
    <n v="12120"/>
    <n v="606"/>
    <n v="11514"/>
    <n v="4"/>
    <x v="2"/>
  </r>
  <r>
    <s v="ORD-10177"/>
    <d v="2025-09-19T00:00:00"/>
    <x v="0"/>
    <s v="Lucknow"/>
    <x v="1"/>
    <s v="Individual"/>
    <s v="External SSD"/>
    <x v="3"/>
    <n v="4"/>
    <n v="7220"/>
    <n v="0"/>
    <s v="Net Banking"/>
    <s v="Rohan Sharma"/>
    <x v="0"/>
    <n v="28880"/>
    <n v="0"/>
    <n v="28880"/>
    <n v="3"/>
    <x v="2"/>
  </r>
  <r>
    <s v="ORD-10224"/>
    <d v="2025-09-19T00:00:00"/>
    <x v="0"/>
    <s v="Noida"/>
    <x v="0"/>
    <s v="Small Business"/>
    <s v="Mouse"/>
    <x v="1"/>
    <n v="1"/>
    <n v="940"/>
    <n v="0.03"/>
    <s v="UPI"/>
    <s v="Rohan Sharma"/>
    <x v="1"/>
    <n v="0"/>
    <n v="0"/>
    <n v="0"/>
    <m/>
    <x v="2"/>
  </r>
  <r>
    <s v="ORD-10152"/>
    <d v="2025-09-21T00:00:00"/>
    <x v="2"/>
    <s v="Chennai"/>
    <x v="1"/>
    <s v="Individual"/>
    <s v="Office Chair"/>
    <x v="4"/>
    <n v="2"/>
    <n v="11640"/>
    <n v="0.08"/>
    <s v="UPI"/>
    <s v="Ananya Rao"/>
    <x v="0"/>
    <n v="23280"/>
    <n v="1862.4"/>
    <n v="21417.599999999999"/>
    <n v="5"/>
    <x v="2"/>
  </r>
  <r>
    <s v="ORD-10131"/>
    <d v="2025-09-22T00:00:00"/>
    <x v="2"/>
    <s v="Hyderabad"/>
    <x v="0"/>
    <s v="Enterprise"/>
    <s v="Office Chair"/>
    <x v="4"/>
    <n v="1"/>
    <n v="10900"/>
    <n v="0"/>
    <s v="UPI"/>
    <s v="Vikram Singh"/>
    <x v="0"/>
    <n v="10900"/>
    <n v="0"/>
    <n v="10900"/>
    <n v="2"/>
    <x v="2"/>
  </r>
  <r>
    <s v="ORD-10419"/>
    <d v="2025-09-23T00:00:00"/>
    <x v="3"/>
    <s v="Bhubaneswar"/>
    <x v="1"/>
    <s v="Individual"/>
    <s v="Keyboard"/>
    <x v="1"/>
    <n v="3"/>
    <n v="1750"/>
    <n v="0"/>
    <s v="Cash on Delivery"/>
    <s v="Ananya Rao"/>
    <x v="2"/>
    <n v="5250"/>
    <n v="0"/>
    <n v="5250"/>
    <n v="3"/>
    <x v="2"/>
  </r>
  <r>
    <s v="ORD-10057"/>
    <d v="2025-09-23T00:00:00"/>
    <x v="3"/>
    <s v="Guwahati"/>
    <x v="1"/>
    <s v="Small Business"/>
    <s v="Office Desk"/>
    <x v="4"/>
    <n v="2"/>
    <n v="15160"/>
    <n v="0.05"/>
    <s v="UPI"/>
    <s v="Ananya Rao"/>
    <x v="0"/>
    <n v="30320"/>
    <n v="1516"/>
    <n v="28804"/>
    <n v="4"/>
    <x v="2"/>
  </r>
  <r>
    <s v="ORD-10031"/>
    <d v="2025-09-24T00:00:00"/>
    <x v="0"/>
    <s v="Lucknow"/>
    <x v="2"/>
    <s v="Individual"/>
    <s v="Laptop"/>
    <x v="0"/>
    <n v="1"/>
    <n v="57830"/>
    <n v="0.08"/>
    <s v="UPI"/>
    <s v="Ananya Rao"/>
    <x v="0"/>
    <n v="57830"/>
    <n v="4626.3999999999996"/>
    <n v="53203.6"/>
    <n v="3"/>
    <x v="2"/>
  </r>
  <r>
    <s v="ORD-10256"/>
    <d v="2025-09-26T00:00:00"/>
    <x v="2"/>
    <s v="Bengaluru"/>
    <x v="1"/>
    <s v="Small Business"/>
    <s v="External SSD"/>
    <x v="3"/>
    <n v="2"/>
    <n v="6830"/>
    <n v="0.05"/>
    <s v="UPI"/>
    <s v="Neha Kapoor"/>
    <x v="0"/>
    <n v="13660"/>
    <n v="683"/>
    <n v="12977"/>
    <n v="2"/>
    <x v="2"/>
  </r>
  <r>
    <s v="ORD-10080"/>
    <d v="2025-09-27T00:00:00"/>
    <x v="0"/>
    <s v="Jaipur"/>
    <x v="0"/>
    <s v="Enterprise"/>
    <s v="Tablet"/>
    <x v="0"/>
    <n v="3"/>
    <n v="21800"/>
    <n v="0.05"/>
    <s v="UPI"/>
    <s v="Priya Nair"/>
    <x v="0"/>
    <n v="65400"/>
    <n v="3270"/>
    <n v="62130"/>
    <n v="2"/>
    <x v="2"/>
  </r>
  <r>
    <s v="ORD-10310"/>
    <d v="2025-09-27T00:00:00"/>
    <x v="2"/>
    <s v="Hyderabad"/>
    <x v="0"/>
    <s v="Individual"/>
    <s v="Mouse"/>
    <x v="1"/>
    <n v="1"/>
    <n v="990"/>
    <n v="0.03"/>
    <s v="UPI"/>
    <s v="Vikram Singh"/>
    <x v="0"/>
    <n v="990"/>
    <n v="29.7"/>
    <n v="960.3"/>
    <n v="2"/>
    <x v="2"/>
  </r>
  <r>
    <s v="ORD-10368"/>
    <d v="2025-09-27T00:00:00"/>
    <x v="1"/>
    <s v="Ahmedabad"/>
    <x v="2"/>
    <s v="Individual"/>
    <s v="Wireless Headphones"/>
    <x v="0"/>
    <n v="1"/>
    <n v="3280"/>
    <n v="0.08"/>
    <s v="Net Banking"/>
    <s v="Karan Patel"/>
    <x v="1"/>
    <n v="0"/>
    <n v="0"/>
    <n v="0"/>
    <m/>
    <x v="2"/>
  </r>
  <r>
    <s v="ORD-10458"/>
    <d v="2025-09-27T00:00:00"/>
    <x v="1"/>
    <s v="Pune"/>
    <x v="0"/>
    <s v="Individual"/>
    <s v="Webcam"/>
    <x v="1"/>
    <n v="3"/>
    <n v="3580"/>
    <n v="0.08"/>
    <s v="Credit Card"/>
    <s v="Aarav Mehta"/>
    <x v="0"/>
    <n v="10740"/>
    <n v="859.2"/>
    <n v="9880.7999999999993"/>
    <n v="4"/>
    <x v="2"/>
  </r>
  <r>
    <s v="ORD-10535"/>
    <d v="2025-09-28T00:00:00"/>
    <x v="1"/>
    <s v="Mumbai"/>
    <x v="1"/>
    <s v="Individual"/>
    <s v="Smartphone"/>
    <x v="0"/>
    <n v="3"/>
    <n v="29910"/>
    <n v="0.05"/>
    <s v="UPI"/>
    <s v="Aarav Mehta"/>
    <x v="0"/>
    <n v="89730"/>
    <n v="4486.5"/>
    <n v="85243.5"/>
    <n v="4"/>
    <x v="2"/>
  </r>
  <r>
    <s v="ORD-10262"/>
    <d v="2025-09-28T00:00:00"/>
    <x v="3"/>
    <s v="Guwahati"/>
    <x v="1"/>
    <s v="Small Business"/>
    <s v="External SSD"/>
    <x v="3"/>
    <n v="1"/>
    <n v="7040"/>
    <n v="0.03"/>
    <s v="Credit Card"/>
    <s v="Karan Patel"/>
    <x v="0"/>
    <n v="7040"/>
    <n v="211.2"/>
    <n v="6828.8"/>
    <n v="2"/>
    <x v="2"/>
  </r>
  <r>
    <s v="ORD-10183"/>
    <d v="2025-09-28T00:00:00"/>
    <x v="2"/>
    <s v="Hyderabad"/>
    <x v="0"/>
    <s v="Individual"/>
    <s v="Office Chair"/>
    <x v="4"/>
    <n v="1"/>
    <n v="11810"/>
    <n v="0"/>
    <s v="Credit Card"/>
    <s v="Karan Patel"/>
    <x v="0"/>
    <n v="11810"/>
    <n v="0"/>
    <n v="11810"/>
    <n v="7"/>
    <x v="2"/>
  </r>
  <r>
    <s v="ORD-10022"/>
    <d v="2025-09-28T00:00:00"/>
    <x v="2"/>
    <s v="Kochi"/>
    <x v="0"/>
    <s v="Individual"/>
    <s v="Mouse"/>
    <x v="1"/>
    <n v="2"/>
    <n v="1000"/>
    <n v="0"/>
    <s v="Debit Card"/>
    <s v="Ananya Rao"/>
    <x v="0"/>
    <n v="2000"/>
    <n v="0"/>
    <n v="2000"/>
    <n v="5"/>
    <x v="2"/>
  </r>
  <r>
    <s v="ORD-10619"/>
    <d v="2025-09-29T00:00:00"/>
    <x v="2"/>
    <s v="Kochi"/>
    <x v="1"/>
    <s v="Enterprise"/>
    <s v="Smartphone"/>
    <x v="0"/>
    <n v="2"/>
    <n v="27300"/>
    <n v="0.08"/>
    <s v="Net Banking"/>
    <s v="Vikram Singh"/>
    <x v="0"/>
    <n v="54600"/>
    <n v="4368"/>
    <n v="50232"/>
    <n v="3"/>
    <x v="2"/>
  </r>
  <r>
    <s v="ORD-10230"/>
    <d v="2025-09-30T00:00:00"/>
    <x v="1"/>
    <s v="Pune"/>
    <x v="2"/>
    <s v="Individual"/>
    <s v="Smartphone"/>
    <x v="0"/>
    <n v="1"/>
    <n v="27340"/>
    <n v="0.05"/>
    <s v="Debit Card"/>
    <s v="Karan Patel"/>
    <x v="0"/>
    <n v="27340"/>
    <n v="1367"/>
    <n v="25973"/>
    <n v="2"/>
    <x v="2"/>
  </r>
  <r>
    <s v="ORD-10104"/>
    <d v="2025-09-30T00:00:00"/>
    <x v="1"/>
    <s v="Pune"/>
    <x v="0"/>
    <s v="Individual"/>
    <s v="Webcam"/>
    <x v="1"/>
    <n v="1"/>
    <n v="3400"/>
    <n v="0.05"/>
    <s v="Debit Card"/>
    <s v="Karan Patel"/>
    <x v="0"/>
    <n v="3400"/>
    <n v="170"/>
    <n v="3230"/>
    <n v="3"/>
    <x v="2"/>
  </r>
  <r>
    <s v="ORD-10160"/>
    <d v="2025-10-01T00:00:00"/>
    <x v="2"/>
    <s v="Hyderabad"/>
    <x v="0"/>
    <s v="Enterprise"/>
    <s v="Backpack"/>
    <x v="1"/>
    <n v="3"/>
    <n v="2510"/>
    <n v="0.05"/>
    <s v="Net Banking"/>
    <s v="Aarav Mehta"/>
    <x v="1"/>
    <n v="0"/>
    <n v="0"/>
    <n v="0"/>
    <m/>
    <x v="3"/>
  </r>
  <r>
    <s v="ORD-10189"/>
    <d v="2025-10-02T00:00:00"/>
    <x v="3"/>
    <s v="Kolkata"/>
    <x v="2"/>
    <s v="Small Business"/>
    <s v="External SSD"/>
    <x v="3"/>
    <n v="4"/>
    <n v="6720"/>
    <n v="0.15"/>
    <s v="Credit Card"/>
    <s v="Rohan Sharma"/>
    <x v="0"/>
    <n v="26880"/>
    <n v="4032"/>
    <n v="22848"/>
    <n v="3"/>
    <x v="3"/>
  </r>
  <r>
    <s v="ORD-10297"/>
    <d v="2025-10-03T00:00:00"/>
    <x v="2"/>
    <s v="Chennai"/>
    <x v="2"/>
    <s v="Small Business"/>
    <s v="Webcam"/>
    <x v="1"/>
    <n v="1"/>
    <n v="3410"/>
    <n v="0.05"/>
    <s v="UPI"/>
    <s v="Aarav Mehta"/>
    <x v="0"/>
    <n v="3410"/>
    <n v="170.5"/>
    <n v="3239.5"/>
    <n v="5"/>
    <x v="3"/>
  </r>
  <r>
    <s v="ORD-10361"/>
    <d v="2025-10-04T00:00:00"/>
    <x v="2"/>
    <s v="Bengaluru"/>
    <x v="0"/>
    <s v="Small Business"/>
    <s v="Power Bank"/>
    <x v="1"/>
    <n v="3"/>
    <n v="1700"/>
    <n v="0"/>
    <s v="Net Banking"/>
    <s v="Neha Kapoor"/>
    <x v="0"/>
    <n v="5100"/>
    <n v="0"/>
    <n v="5100"/>
    <n v="2"/>
    <x v="3"/>
  </r>
  <r>
    <s v="ORD-10246"/>
    <d v="2025-10-05T00:00:00"/>
    <x v="2"/>
    <s v="Chennai"/>
    <x v="0"/>
    <s v="Individual"/>
    <s v="Laptop"/>
    <x v="0"/>
    <n v="2"/>
    <n v="66280"/>
    <n v="0.03"/>
    <s v="Net Banking"/>
    <s v="Sneha Iyer"/>
    <x v="0"/>
    <n v="132560"/>
    <n v="3976.8"/>
    <n v="128583.2"/>
    <n v="4"/>
    <x v="3"/>
  </r>
  <r>
    <s v="ORD-10382"/>
    <d v="2025-10-05T00:00:00"/>
    <x v="3"/>
    <s v="Kolkata"/>
    <x v="0"/>
    <s v="Individual"/>
    <s v="Tablet"/>
    <x v="0"/>
    <n v="1"/>
    <n v="23320"/>
    <n v="0.05"/>
    <s v="Cash on Delivery"/>
    <s v="Rohan Sharma"/>
    <x v="0"/>
    <n v="23320"/>
    <n v="1166"/>
    <n v="22154"/>
    <n v="5"/>
    <x v="3"/>
  </r>
  <r>
    <s v="ORD-10235"/>
    <d v="2025-10-06T00:00:00"/>
    <x v="1"/>
    <s v="Surat"/>
    <x v="0"/>
    <s v="Individual"/>
    <s v="Laptop"/>
    <x v="0"/>
    <n v="1"/>
    <n v="57700"/>
    <n v="0.03"/>
    <s v="Cash on Delivery"/>
    <s v="Neha Kapoor"/>
    <x v="0"/>
    <n v="57700"/>
    <n v="1731"/>
    <n v="55969"/>
    <n v="4"/>
    <x v="3"/>
  </r>
  <r>
    <s v="ORD-10065"/>
    <d v="2025-10-07T00:00:00"/>
    <x v="3"/>
    <s v="Guwahati"/>
    <x v="1"/>
    <s v="Small Business"/>
    <s v="Mouse"/>
    <x v="1"/>
    <n v="1"/>
    <n v="1010"/>
    <n v="0.08"/>
    <s v="Debit Card"/>
    <s v="Rohan Sharma"/>
    <x v="0"/>
    <n v="1010"/>
    <n v="80.8"/>
    <n v="929.2"/>
    <n v="4"/>
    <x v="3"/>
  </r>
  <r>
    <s v="ORD-10600"/>
    <d v="2025-10-07T00:00:00"/>
    <x v="3"/>
    <s v="Bhubaneswar"/>
    <x v="1"/>
    <s v="Individual"/>
    <s v="Office Desk"/>
    <x v="4"/>
    <n v="2"/>
    <n v="14130"/>
    <n v="0.15"/>
    <s v="Net Banking"/>
    <s v="Priya Nair"/>
    <x v="0"/>
    <n v="28260"/>
    <n v="4239"/>
    <n v="24021"/>
    <n v="2"/>
    <x v="3"/>
  </r>
  <r>
    <s v="ORD-10366"/>
    <d v="2025-10-08T00:00:00"/>
    <x v="2"/>
    <s v="Kochi"/>
    <x v="0"/>
    <s v="Small Business"/>
    <s v="External SSD"/>
    <x v="3"/>
    <n v="1"/>
    <n v="6950"/>
    <n v="0.03"/>
    <s v="Net Banking"/>
    <s v="Vikram Singh"/>
    <x v="1"/>
    <n v="0"/>
    <n v="0"/>
    <n v="0"/>
    <m/>
    <x v="3"/>
  </r>
  <r>
    <s v="ORD-10383"/>
    <d v="2025-10-08T00:00:00"/>
    <x v="0"/>
    <s v="Noida"/>
    <x v="0"/>
    <s v="Individual"/>
    <s v="Office Desk"/>
    <x v="4"/>
    <n v="2"/>
    <n v="13910"/>
    <n v="0.08"/>
    <s v="Debit Card"/>
    <s v="Rohan Sharma"/>
    <x v="0"/>
    <n v="27820"/>
    <n v="2225.6"/>
    <n v="25594.400000000001"/>
    <n v="4"/>
    <x v="3"/>
  </r>
  <r>
    <s v="ORD-10461"/>
    <d v="2025-10-10T00:00:00"/>
    <x v="1"/>
    <s v="Pune"/>
    <x v="1"/>
    <s v="Enterprise"/>
    <s v="Smartphone"/>
    <x v="0"/>
    <n v="2"/>
    <n v="26710"/>
    <n v="0.05"/>
    <s v="Net Banking"/>
    <s v="Ananya Rao"/>
    <x v="0"/>
    <n v="53420"/>
    <n v="2671"/>
    <n v="50749"/>
    <n v="3"/>
    <x v="3"/>
  </r>
  <r>
    <s v="ORD-10103"/>
    <d v="2025-10-10T00:00:00"/>
    <x v="3"/>
    <s v="Kolkata"/>
    <x v="1"/>
    <s v="Individual"/>
    <s v="Tablet"/>
    <x v="0"/>
    <n v="2"/>
    <n v="20980"/>
    <n v="0.05"/>
    <s v="UPI"/>
    <s v="Ananya Rao"/>
    <x v="0"/>
    <n v="41960"/>
    <n v="2098"/>
    <n v="39862"/>
    <n v="3"/>
    <x v="3"/>
  </r>
  <r>
    <s v="ORD-10613"/>
    <d v="2025-10-11T00:00:00"/>
    <x v="2"/>
    <s v="Hyderabad"/>
    <x v="0"/>
    <s v="Enterprise"/>
    <s v="External SSD"/>
    <x v="3"/>
    <n v="1"/>
    <n v="7650"/>
    <n v="0"/>
    <s v="Credit Card"/>
    <s v="Rohan Sharma"/>
    <x v="0"/>
    <n v="7650"/>
    <n v="0"/>
    <n v="7650"/>
    <n v="3"/>
    <x v="3"/>
  </r>
  <r>
    <s v="ORD-10111"/>
    <d v="2025-10-12T00:00:00"/>
    <x v="3"/>
    <s v="Guwahati"/>
    <x v="1"/>
    <s v="Individual"/>
    <s v="Smartphone"/>
    <x v="0"/>
    <n v="1"/>
    <n v="28240"/>
    <n v="0.1"/>
    <s v="UPI"/>
    <s v="Neha Kapoor"/>
    <x v="0"/>
    <n v="28240"/>
    <n v="2824"/>
    <n v="25416"/>
    <n v="5"/>
    <x v="3"/>
  </r>
  <r>
    <s v="ORD-10564"/>
    <d v="2025-10-12T00:00:00"/>
    <x v="0"/>
    <s v="Jaipur"/>
    <x v="0"/>
    <s v="Individual"/>
    <s v="Keyboard"/>
    <x v="1"/>
    <n v="2"/>
    <n v="1850"/>
    <n v="0.05"/>
    <s v="Cash on Delivery"/>
    <s v="Vikram Singh"/>
    <x v="0"/>
    <n v="3700"/>
    <n v="185"/>
    <n v="3515"/>
    <n v="4"/>
    <x v="3"/>
  </r>
  <r>
    <s v="ORD-10309"/>
    <d v="2025-10-13T00:00:00"/>
    <x v="0"/>
    <s v="Delhi"/>
    <x v="1"/>
    <s v="Individual"/>
    <s v="Wireless Headphones"/>
    <x v="0"/>
    <n v="1"/>
    <n v="3010"/>
    <n v="0"/>
    <s v="Debit Card"/>
    <s v="Sneha Iyer"/>
    <x v="0"/>
    <n v="3010"/>
    <n v="0"/>
    <n v="3010"/>
    <n v="2"/>
    <x v="3"/>
  </r>
  <r>
    <s v="ORD-10625"/>
    <d v="2025-10-13T00:00:00"/>
    <x v="1"/>
    <s v="Surat"/>
    <x v="1"/>
    <s v="Individual"/>
    <s v="External SSD"/>
    <x v="3"/>
    <n v="1"/>
    <n v="7000"/>
    <n v="0"/>
    <s v="Cash on Delivery"/>
    <s v="Priya Nair"/>
    <x v="0"/>
    <n v="7000"/>
    <n v="0"/>
    <n v="7000"/>
    <n v="2"/>
    <x v="3"/>
  </r>
  <r>
    <s v="ORD-10231"/>
    <d v="2025-10-14T00:00:00"/>
    <x v="0"/>
    <s v="Lucknow"/>
    <x v="1"/>
    <s v="Individual"/>
    <s v="Wireless Headphones"/>
    <x v="0"/>
    <n v="2"/>
    <n v="3200"/>
    <n v="0.03"/>
    <s v="Credit Card"/>
    <s v="Karan Patel"/>
    <x v="0"/>
    <n v="6400"/>
    <n v="192"/>
    <n v="6208"/>
    <n v="3"/>
    <x v="3"/>
  </r>
  <r>
    <s v="ORD-10237"/>
    <d v="2025-10-14T00:00:00"/>
    <x v="2"/>
    <s v="Chennai"/>
    <x v="2"/>
    <s v="Individual"/>
    <s v="External SSD"/>
    <x v="3"/>
    <n v="2"/>
    <n v="6740"/>
    <n v="0.1"/>
    <s v="Credit Card"/>
    <s v="Aarav Mehta"/>
    <x v="0"/>
    <n v="13480"/>
    <n v="1348"/>
    <n v="12132"/>
    <n v="7"/>
    <x v="3"/>
  </r>
  <r>
    <s v="ORD-10412"/>
    <d v="2025-10-14T00:00:00"/>
    <x v="1"/>
    <s v="Pune"/>
    <x v="0"/>
    <s v="Small Business"/>
    <s v="Office Desk"/>
    <x v="4"/>
    <n v="1"/>
    <n v="13960"/>
    <n v="0.03"/>
    <s v="UPI"/>
    <s v="Ananya Rao"/>
    <x v="0"/>
    <n v="13960"/>
    <n v="418.8"/>
    <n v="13541.2"/>
    <n v="3"/>
    <x v="3"/>
  </r>
  <r>
    <s v="ORD-10081"/>
    <d v="2025-10-15T00:00:00"/>
    <x v="2"/>
    <s v="Kochi"/>
    <x v="1"/>
    <s v="Individual"/>
    <s v="Office Chair"/>
    <x v="4"/>
    <n v="1"/>
    <n v="11340"/>
    <n v="0"/>
    <s v="UPI"/>
    <s v="Priya Nair"/>
    <x v="0"/>
    <n v="11340"/>
    <n v="0"/>
    <n v="11340"/>
    <n v="4"/>
    <x v="3"/>
  </r>
  <r>
    <s v="ORD-10578"/>
    <d v="2025-10-15T00:00:00"/>
    <x v="2"/>
    <s v="Chennai"/>
    <x v="1"/>
    <s v="Small Business"/>
    <s v="Monitor"/>
    <x v="0"/>
    <n v="4"/>
    <n v="16570"/>
    <n v="0"/>
    <s v="Net Banking"/>
    <s v="Neha Kapoor"/>
    <x v="0"/>
    <n v="66280"/>
    <n v="0"/>
    <n v="66280"/>
    <n v="3"/>
    <x v="3"/>
  </r>
  <r>
    <s v="ORD-10052"/>
    <d v="2025-10-15T00:00:00"/>
    <x v="3"/>
    <s v="Kolkata"/>
    <x v="2"/>
    <s v="Individual"/>
    <s v="Wireless Headphones"/>
    <x v="0"/>
    <n v="4"/>
    <n v="3350"/>
    <n v="0.05"/>
    <s v="Debit Card"/>
    <s v="Priya Nair"/>
    <x v="0"/>
    <n v="13400"/>
    <n v="670"/>
    <n v="12730"/>
    <n v="3"/>
    <x v="3"/>
  </r>
  <r>
    <s v="ORD-10509"/>
    <d v="2025-10-16T00:00:00"/>
    <x v="1"/>
    <s v="Pune"/>
    <x v="0"/>
    <s v="Small Business"/>
    <s v="Keyboard"/>
    <x v="1"/>
    <n v="3"/>
    <n v="1770"/>
    <n v="0.03"/>
    <s v="Credit Card"/>
    <s v="Rohan Sharma"/>
    <x v="0"/>
    <n v="5310"/>
    <n v="159.30000000000001"/>
    <n v="5150.7"/>
    <n v="5"/>
    <x v="3"/>
  </r>
  <r>
    <s v="ORD-10426"/>
    <d v="2025-10-16T00:00:00"/>
    <x v="2"/>
    <s v="Kochi"/>
    <x v="0"/>
    <s v="Individual"/>
    <s v="Webcam"/>
    <x v="1"/>
    <n v="2"/>
    <n v="3520"/>
    <n v="0.03"/>
    <s v="Cash on Delivery"/>
    <s v="Sneha Iyer"/>
    <x v="0"/>
    <n v="7040"/>
    <n v="211.2"/>
    <n v="6828.8"/>
    <n v="1"/>
    <x v="3"/>
  </r>
  <r>
    <s v="ORD-10447"/>
    <d v="2025-10-17T00:00:00"/>
    <x v="2"/>
    <s v="Bengaluru"/>
    <x v="1"/>
    <s v="Individual"/>
    <s v="Keyboard"/>
    <x v="1"/>
    <n v="1"/>
    <n v="1870"/>
    <n v="0"/>
    <s v="UPI"/>
    <s v="Rohan Sharma"/>
    <x v="0"/>
    <n v="1870"/>
    <n v="0"/>
    <n v="1870"/>
    <n v="7"/>
    <x v="3"/>
  </r>
  <r>
    <s v="ORD-10516"/>
    <d v="2025-10-17T00:00:00"/>
    <x v="3"/>
    <s v="Bhubaneswar"/>
    <x v="0"/>
    <s v="Individual"/>
    <s v="Monitor"/>
    <x v="0"/>
    <n v="2"/>
    <n v="16140"/>
    <n v="0"/>
    <s v="Credit Card"/>
    <s v="Rohan Sharma"/>
    <x v="2"/>
    <n v="32280"/>
    <n v="0"/>
    <n v="32280"/>
    <n v="2"/>
    <x v="3"/>
  </r>
  <r>
    <s v="ORD-10290"/>
    <d v="2025-10-17T00:00:00"/>
    <x v="2"/>
    <s v="Bengaluru"/>
    <x v="0"/>
    <s v="Individual"/>
    <s v="Laptop"/>
    <x v="0"/>
    <n v="2"/>
    <n v="61220"/>
    <n v="0.08"/>
    <s v="Credit Card"/>
    <s v="Priya Nair"/>
    <x v="0"/>
    <n v="122440"/>
    <n v="9795.2000000000007"/>
    <n v="112644.8"/>
    <n v="3"/>
    <x v="3"/>
  </r>
  <r>
    <s v="ORD-10645"/>
    <d v="2025-10-17T00:00:00"/>
    <x v="0"/>
    <s v="Noida"/>
    <x v="2"/>
    <s v="Individual"/>
    <s v="Office Chair"/>
    <x v="4"/>
    <n v="1"/>
    <n v="10870"/>
    <n v="0"/>
    <s v="UPI"/>
    <s v="Vikram Singh"/>
    <x v="0"/>
    <n v="10870"/>
    <n v="0"/>
    <n v="10870"/>
    <n v="5"/>
    <x v="3"/>
  </r>
  <r>
    <s v="ORD-10013"/>
    <d v="2025-10-18T00:00:00"/>
    <x v="2"/>
    <s v="Chennai"/>
    <x v="1"/>
    <s v="Individual"/>
    <s v="Keyboard"/>
    <x v="1"/>
    <n v="1"/>
    <n v="1760"/>
    <n v="0.1"/>
    <s v="Cash on Delivery"/>
    <s v="Vikram Singh"/>
    <x v="0"/>
    <n v="1760"/>
    <n v="176"/>
    <n v="1584"/>
    <n v="2"/>
    <x v="3"/>
  </r>
  <r>
    <s v="ORD-10227"/>
    <d v="2025-10-18T00:00:00"/>
    <x v="2"/>
    <s v="Kochi"/>
    <x v="2"/>
    <s v="Individual"/>
    <s v="Smartphone"/>
    <x v="0"/>
    <n v="1"/>
    <n v="27330"/>
    <n v="0.05"/>
    <s v="Net Banking"/>
    <s v="Rohan Sharma"/>
    <x v="0"/>
    <n v="27330"/>
    <n v="1366.5"/>
    <n v="25963.5"/>
    <n v="3"/>
    <x v="3"/>
  </r>
  <r>
    <s v="ORD-10001"/>
    <d v="2025-10-18T00:00:00"/>
    <x v="2"/>
    <s v="Kochi"/>
    <x v="0"/>
    <s v="Individual"/>
    <s v="Power Bank"/>
    <x v="1"/>
    <n v="4"/>
    <n v="1700"/>
    <n v="0.03"/>
    <s v="Debit Card"/>
    <s v="Neha Kapoor"/>
    <x v="0"/>
    <n v="6800"/>
    <n v="204"/>
    <n v="6596"/>
    <n v="2"/>
    <x v="3"/>
  </r>
  <r>
    <s v="ORD-10158"/>
    <d v="2025-10-18T00:00:00"/>
    <x v="1"/>
    <s v="Ahmedabad"/>
    <x v="1"/>
    <s v="Individual"/>
    <s v="Laptop"/>
    <x v="0"/>
    <n v="1"/>
    <n v="60320"/>
    <n v="0"/>
    <s v="UPI"/>
    <s v="Neha Kapoor"/>
    <x v="0"/>
    <n v="60320"/>
    <n v="0"/>
    <n v="60320"/>
    <n v="3"/>
    <x v="3"/>
  </r>
  <r>
    <s v="ORD-10139"/>
    <d v="2025-10-19T00:00:00"/>
    <x v="2"/>
    <s v="Hyderabad"/>
    <x v="2"/>
    <s v="Small Business"/>
    <s v="Smartphone"/>
    <x v="0"/>
    <n v="4"/>
    <n v="28600"/>
    <n v="0"/>
    <s v="UPI"/>
    <s v="Rohan Sharma"/>
    <x v="0"/>
    <n v="114400"/>
    <n v="0"/>
    <n v="114400"/>
    <n v="2"/>
    <x v="3"/>
  </r>
  <r>
    <s v="ORD-10296"/>
    <d v="2025-10-19T00:00:00"/>
    <x v="3"/>
    <s v="Kolkata"/>
    <x v="1"/>
    <s v="Individual"/>
    <s v="Monitor"/>
    <x v="0"/>
    <n v="4"/>
    <n v="16950"/>
    <n v="0.1"/>
    <s v="UPI"/>
    <s v="Priya Nair"/>
    <x v="0"/>
    <n v="67800"/>
    <n v="6780"/>
    <n v="61020"/>
    <n v="3"/>
    <x v="3"/>
  </r>
  <r>
    <s v="ORD-10529"/>
    <d v="2025-10-20T00:00:00"/>
    <x v="0"/>
    <s v="Jaipur"/>
    <x v="1"/>
    <s v="Individual"/>
    <s v="External SSD"/>
    <x v="3"/>
    <n v="1"/>
    <n v="7650"/>
    <n v="0.03"/>
    <s v="Net Banking"/>
    <s v="Vikram Singh"/>
    <x v="0"/>
    <n v="7650"/>
    <n v="229.5"/>
    <n v="7420.5"/>
    <n v="1"/>
    <x v="3"/>
  </r>
  <r>
    <s v="ORD-10047"/>
    <d v="2025-10-20T00:00:00"/>
    <x v="0"/>
    <s v="Delhi"/>
    <x v="1"/>
    <s v="Small Business"/>
    <s v="Laptop"/>
    <x v="0"/>
    <n v="1"/>
    <n v="61130"/>
    <n v="0.05"/>
    <s v="UPI"/>
    <s v="Vikram Singh"/>
    <x v="0"/>
    <n v="61130"/>
    <n v="3056.5"/>
    <n v="58073.5"/>
    <n v="3"/>
    <x v="3"/>
  </r>
  <r>
    <s v="ORD-10505"/>
    <d v="2025-10-20T00:00:00"/>
    <x v="3"/>
    <s v="Bhubaneswar"/>
    <x v="0"/>
    <s v="Enterprise"/>
    <s v="External SSD"/>
    <x v="3"/>
    <n v="4"/>
    <n v="7530"/>
    <n v="0.03"/>
    <s v="Debit Card"/>
    <s v="Karan Patel"/>
    <x v="0"/>
    <n v="30120"/>
    <n v="903.6"/>
    <n v="29216.400000000001"/>
    <n v="4"/>
    <x v="3"/>
  </r>
  <r>
    <s v="ORD-10012"/>
    <d v="2025-10-20T00:00:00"/>
    <x v="2"/>
    <s v="Hyderabad"/>
    <x v="2"/>
    <s v="Individual"/>
    <s v="Backpack"/>
    <x v="1"/>
    <n v="3"/>
    <n v="2490"/>
    <n v="0.03"/>
    <s v="Credit Card"/>
    <s v="Sneha Iyer"/>
    <x v="0"/>
    <n v="7470"/>
    <n v="224.1"/>
    <n v="7245.9"/>
    <n v="4"/>
    <x v="3"/>
  </r>
  <r>
    <s v="ORD-10274"/>
    <d v="2025-10-22T00:00:00"/>
    <x v="1"/>
    <s v="Surat"/>
    <x v="2"/>
    <s v="Individual"/>
    <s v="Office Chair"/>
    <x v="4"/>
    <n v="3"/>
    <n v="11430"/>
    <n v="0.05"/>
    <s v="Credit Card"/>
    <s v="Aarav Mehta"/>
    <x v="0"/>
    <n v="34290"/>
    <n v="1714.5"/>
    <n v="32575.5"/>
    <n v="3"/>
    <x v="3"/>
  </r>
  <r>
    <s v="ORD-10629"/>
    <d v="2025-10-22T00:00:00"/>
    <x v="1"/>
    <s v="Pune"/>
    <x v="1"/>
    <s v="Individual"/>
    <s v="Mouse"/>
    <x v="1"/>
    <n v="1"/>
    <n v="1000"/>
    <n v="0.05"/>
    <s v="Cash on Delivery"/>
    <s v="Sneha Iyer"/>
    <x v="0"/>
    <n v="1000"/>
    <n v="50"/>
    <n v="950"/>
    <n v="2"/>
    <x v="3"/>
  </r>
  <r>
    <s v="ORD-10598"/>
    <d v="2025-10-22T00:00:00"/>
    <x v="0"/>
    <s v="Unknown"/>
    <x v="1"/>
    <s v="Enterprise"/>
    <s v="Laptop"/>
    <x v="0"/>
    <n v="1"/>
    <n v="59680"/>
    <n v="0.1"/>
    <s v="Credit Card"/>
    <s v="Aarav Mehta"/>
    <x v="0"/>
    <n v="59680"/>
    <n v="5968"/>
    <n v="53712"/>
    <n v="4"/>
    <x v="3"/>
  </r>
  <r>
    <s v="ORD-10113"/>
    <d v="2025-10-22T00:00:00"/>
    <x v="1"/>
    <s v="Pune"/>
    <x v="0"/>
    <s v="Individual"/>
    <s v="Smartphone"/>
    <x v="0"/>
    <n v="3"/>
    <n v="27440"/>
    <n v="0.03"/>
    <s v="UPI"/>
    <s v="Rohan Sharma"/>
    <x v="0"/>
    <n v="82320"/>
    <n v="2469.6"/>
    <n v="79850.399999999994"/>
    <n v="4"/>
    <x v="3"/>
  </r>
  <r>
    <s v="ORD-10353"/>
    <d v="2025-10-23T00:00:00"/>
    <x v="1"/>
    <s v="Surat"/>
    <x v="0"/>
    <s v="Individual"/>
    <s v="Office Chair"/>
    <x v="4"/>
    <n v="1"/>
    <n v="11550"/>
    <n v="0.05"/>
    <s v="Debit Card"/>
    <s v="Vikram Singh"/>
    <x v="0"/>
    <n v="11550"/>
    <n v="577.5"/>
    <n v="10972.5"/>
    <n v="3"/>
    <x v="3"/>
  </r>
  <r>
    <s v="ORD-10379"/>
    <d v="2025-10-23T00:00:00"/>
    <x v="1"/>
    <s v="Surat"/>
    <x v="1"/>
    <s v="Individual"/>
    <s v="Smartphone"/>
    <x v="0"/>
    <n v="4"/>
    <n v="27220"/>
    <n v="0.05"/>
    <s v="UPI"/>
    <s v="Ananya Rao"/>
    <x v="0"/>
    <n v="108880"/>
    <n v="5444"/>
    <n v="103436"/>
    <n v="5"/>
    <x v="3"/>
  </r>
  <r>
    <s v="ORD-10086"/>
    <d v="2025-10-26T00:00:00"/>
    <x v="2"/>
    <s v="Hyderabad"/>
    <x v="0"/>
    <s v="Individual"/>
    <s v="Printer"/>
    <x v="2"/>
    <n v="1"/>
    <n v="13350"/>
    <n v="0.05"/>
    <s v="UPI"/>
    <s v="Aarav Mehta"/>
    <x v="0"/>
    <n v="13350"/>
    <n v="667.5"/>
    <n v="12682.5"/>
    <n v="6"/>
    <x v="3"/>
  </r>
  <r>
    <s v="ORD-10348"/>
    <d v="2025-10-26T00:00:00"/>
    <x v="2"/>
    <s v="Kochi"/>
    <x v="1"/>
    <s v="Individual"/>
    <s v="Wireless Headphones"/>
    <x v="0"/>
    <n v="4"/>
    <n v="3170"/>
    <n v="0"/>
    <s v="UPI"/>
    <s v="Neha Kapoor"/>
    <x v="0"/>
    <n v="12680"/>
    <n v="0"/>
    <n v="12680"/>
    <n v="4"/>
    <x v="3"/>
  </r>
  <r>
    <s v="ORD-10346"/>
    <d v="2025-10-26T00:00:00"/>
    <x v="2"/>
    <s v="Bengaluru"/>
    <x v="1"/>
    <s v="Individual"/>
    <s v="Backpack"/>
    <x v="1"/>
    <n v="2"/>
    <n v="2290"/>
    <n v="0.03"/>
    <s v="UPI"/>
    <s v="Aarav Mehta"/>
    <x v="0"/>
    <n v="4580"/>
    <n v="137.4"/>
    <n v="4442.6000000000004"/>
    <n v="2"/>
    <x v="3"/>
  </r>
  <r>
    <s v="ORD-10275"/>
    <d v="2025-10-27T00:00:00"/>
    <x v="2"/>
    <s v="Chennai"/>
    <x v="2"/>
    <s v="Individual"/>
    <s v="Wireless Headphones"/>
    <x v="0"/>
    <n v="2"/>
    <n v="3120"/>
    <n v="0.03"/>
    <s v="Credit Card"/>
    <s v="Karan Patel"/>
    <x v="0"/>
    <n v="6240"/>
    <n v="187.2"/>
    <n v="6052.8"/>
    <n v="7"/>
    <x v="3"/>
  </r>
  <r>
    <s v="ORD-10175"/>
    <d v="2025-10-28T00:00:00"/>
    <x v="2"/>
    <s v="Hyderabad"/>
    <x v="1"/>
    <s v="Enterprise"/>
    <s v="Monitor"/>
    <x v="0"/>
    <n v="1"/>
    <n v="15940"/>
    <n v="0.15"/>
    <s v="UPI"/>
    <s v="Karan Patel"/>
    <x v="0"/>
    <n v="15940"/>
    <n v="2391"/>
    <n v="13549"/>
    <n v="3"/>
    <x v="3"/>
  </r>
  <r>
    <s v="ORD-10424"/>
    <d v="2025-10-29T00:00:00"/>
    <x v="3"/>
    <s v="Guwahati"/>
    <x v="2"/>
    <s v="Individual"/>
    <s v="Keyboard"/>
    <x v="1"/>
    <n v="5"/>
    <n v="1890"/>
    <n v="0.03"/>
    <s v="UPI"/>
    <s v="Priya Nair"/>
    <x v="0"/>
    <n v="9450"/>
    <n v="283.5"/>
    <n v="9166.5"/>
    <n v="3"/>
    <x v="3"/>
  </r>
  <r>
    <s v="ORD-10207"/>
    <d v="2025-10-29T00:00:00"/>
    <x v="0"/>
    <s v="Noida"/>
    <x v="1"/>
    <s v="Individual"/>
    <s v="External SSD"/>
    <x v="3"/>
    <n v="1"/>
    <n v="7690"/>
    <n v="0.08"/>
    <s v="Credit Card"/>
    <s v="Sneha Iyer"/>
    <x v="0"/>
    <n v="7690"/>
    <n v="615.20000000000005"/>
    <n v="7074.8"/>
    <n v="4"/>
    <x v="3"/>
  </r>
  <r>
    <s v="ORD-10112"/>
    <d v="2025-10-30T00:00:00"/>
    <x v="0"/>
    <s v="Lucknow"/>
    <x v="1"/>
    <s v="Small Business"/>
    <s v="Mouse"/>
    <x v="1"/>
    <n v="1"/>
    <n v="940"/>
    <n v="0"/>
    <s v="UPI"/>
    <s v="Sneha Iyer"/>
    <x v="0"/>
    <n v="940"/>
    <n v="0"/>
    <n v="940"/>
    <n v="2"/>
    <x v="3"/>
  </r>
  <r>
    <s v="ORD-10221"/>
    <d v="2025-10-30T00:00:00"/>
    <x v="2"/>
    <s v="Hyderabad"/>
    <x v="2"/>
    <s v="Small Business"/>
    <s v="Office Chair"/>
    <x v="4"/>
    <n v="2"/>
    <n v="12030"/>
    <n v="0.05"/>
    <s v="Debit Card"/>
    <s v="Karan Patel"/>
    <x v="0"/>
    <n v="24060"/>
    <n v="1203"/>
    <n v="22857"/>
    <n v="4"/>
    <x v="3"/>
  </r>
  <r>
    <s v="ORD-10019"/>
    <d v="2025-10-31T00:00:00"/>
    <x v="0"/>
    <s v="Delhi"/>
    <x v="0"/>
    <s v="Individual"/>
    <s v="Office Chair"/>
    <x v="4"/>
    <n v="4"/>
    <n v="12200"/>
    <n v="0.03"/>
    <s v="UPI"/>
    <s v="Ananya Rao"/>
    <x v="0"/>
    <n v="48800"/>
    <n v="1464"/>
    <n v="47336"/>
    <n v="3"/>
    <x v="3"/>
  </r>
  <r>
    <s v="ORD-10011"/>
    <d v="2025-10-31T00:00:00"/>
    <x v="2"/>
    <s v="Kochi"/>
    <x v="0"/>
    <s v="Small Business"/>
    <s v="Wireless Headphones"/>
    <x v="0"/>
    <n v="3"/>
    <n v="3250"/>
    <n v="0.03"/>
    <s v="UPI"/>
    <s v="Ananya Rao"/>
    <x v="0"/>
    <n v="9750"/>
    <n v="292.5"/>
    <n v="9457.5"/>
    <n v="6"/>
    <x v="3"/>
  </r>
  <r>
    <s v="ORD-10472"/>
    <d v="2025-10-31T00:00:00"/>
    <x v="2"/>
    <s v="Bengaluru"/>
    <x v="0"/>
    <s v="Individual"/>
    <s v="Smartphone"/>
    <x v="0"/>
    <n v="3"/>
    <n v="28930"/>
    <n v="0"/>
    <s v="Debit Card"/>
    <s v="Priya Nair"/>
    <x v="0"/>
    <n v="86790"/>
    <n v="0"/>
    <n v="86790"/>
    <n v="2"/>
    <x v="3"/>
  </r>
  <r>
    <s v="ORD-10313"/>
    <d v="2025-11-01T00:00:00"/>
    <x v="2"/>
    <s v="Chennai"/>
    <x v="2"/>
    <s v="Individual"/>
    <s v="Wireless Headphones"/>
    <x v="0"/>
    <n v="2"/>
    <n v="3280"/>
    <n v="0.05"/>
    <s v="UPI"/>
    <s v="Rohan Sharma"/>
    <x v="0"/>
    <n v="6560"/>
    <n v="328"/>
    <n v="6232"/>
    <n v="2"/>
    <x v="4"/>
  </r>
  <r>
    <s v="ORD-10034"/>
    <d v="2025-11-02T00:00:00"/>
    <x v="1"/>
    <s v="Ahmedabad"/>
    <x v="0"/>
    <s v="Individual"/>
    <s v="Office Chair"/>
    <x v="4"/>
    <n v="2"/>
    <n v="10940"/>
    <n v="0.15"/>
    <s v="Debit Card"/>
    <s v="Karan Patel"/>
    <x v="0"/>
    <n v="21880"/>
    <n v="3282"/>
    <n v="18598"/>
    <n v="4"/>
    <x v="4"/>
  </r>
  <r>
    <s v="ORD-10045"/>
    <d v="2025-11-02T00:00:00"/>
    <x v="2"/>
    <s v="Chennai"/>
    <x v="2"/>
    <s v="Small Business"/>
    <s v="Keyboard"/>
    <x v="1"/>
    <n v="2"/>
    <n v="1820"/>
    <n v="0.05"/>
    <s v="Cash on Delivery"/>
    <s v="Vikram Singh"/>
    <x v="0"/>
    <n v="3640"/>
    <n v="182"/>
    <n v="3458"/>
    <n v="5"/>
    <x v="4"/>
  </r>
  <r>
    <s v="ORD-10549"/>
    <d v="2025-11-03T00:00:00"/>
    <x v="2"/>
    <s v="Hyderabad"/>
    <x v="1"/>
    <s v="Small Business"/>
    <s v="Monitor"/>
    <x v="0"/>
    <n v="3"/>
    <n v="16550"/>
    <n v="0.05"/>
    <s v="UPI"/>
    <s v="Ananya Rao"/>
    <x v="0"/>
    <n v="49650"/>
    <n v="2482.5"/>
    <n v="47167.5"/>
    <n v="6"/>
    <x v="4"/>
  </r>
  <r>
    <s v="ORD-10473"/>
    <d v="2025-11-04T00:00:00"/>
    <x v="0"/>
    <s v="Delhi"/>
    <x v="2"/>
    <s v="Individual"/>
    <s v="Mouse"/>
    <x v="1"/>
    <n v="1"/>
    <n v="1000"/>
    <n v="0.05"/>
    <s v="Debit Card"/>
    <s v="Priya Nair"/>
    <x v="0"/>
    <n v="1000"/>
    <n v="50"/>
    <n v="950"/>
    <n v="3"/>
    <x v="4"/>
  </r>
  <r>
    <s v="ORD-10155"/>
    <d v="2025-11-05T00:00:00"/>
    <x v="0"/>
    <s v="Lucknow"/>
    <x v="1"/>
    <s v="Individual"/>
    <s v="Smartphone"/>
    <x v="0"/>
    <n v="5"/>
    <n v="26930"/>
    <n v="0.08"/>
    <s v="UPI"/>
    <s v="Aarav Mehta"/>
    <x v="0"/>
    <n v="134650"/>
    <n v="10772"/>
    <n v="123878"/>
    <n v="5"/>
    <x v="4"/>
  </r>
  <r>
    <s v="ORD-10615"/>
    <d v="2025-11-05T00:00:00"/>
    <x v="1"/>
    <s v="Mumbai"/>
    <x v="1"/>
    <s v="Individual"/>
    <s v="Backpack"/>
    <x v="1"/>
    <n v="1"/>
    <n v="2370"/>
    <n v="0"/>
    <s v="Net Banking"/>
    <s v="Karan Patel"/>
    <x v="0"/>
    <n v="2370"/>
    <n v="0"/>
    <n v="2370"/>
    <n v="4"/>
    <x v="4"/>
  </r>
  <r>
    <s v="ORD-10298"/>
    <d v="2025-11-06T00:00:00"/>
    <x v="1"/>
    <s v="Surat"/>
    <x v="1"/>
    <s v="Enterprise"/>
    <s v="Office Chair"/>
    <x v="4"/>
    <n v="1"/>
    <n v="11470"/>
    <n v="0.15"/>
    <s v="Debit Card"/>
    <s v="Vikram Singh"/>
    <x v="0"/>
    <n v="11470"/>
    <n v="1720.5"/>
    <n v="9749.5"/>
    <n v="3"/>
    <x v="4"/>
  </r>
  <r>
    <s v="ORD-10480"/>
    <d v="2025-11-07T00:00:00"/>
    <x v="2"/>
    <s v="Bengaluru"/>
    <x v="0"/>
    <s v="Enterprise"/>
    <s v="Power Bank"/>
    <x v="1"/>
    <n v="5"/>
    <n v="1830"/>
    <n v="0.03"/>
    <s v="Debit Card"/>
    <s v="Rohan Sharma"/>
    <x v="0"/>
    <n v="9150"/>
    <n v="274.5"/>
    <n v="8875.5"/>
    <n v="6"/>
    <x v="4"/>
  </r>
  <r>
    <s v="ORD-10266"/>
    <d v="2025-11-08T00:00:00"/>
    <x v="2"/>
    <s v="Chennai"/>
    <x v="2"/>
    <s v="Individual"/>
    <s v="Backpack"/>
    <x v="1"/>
    <n v="2"/>
    <n v="2480"/>
    <n v="0.08"/>
    <s v="UPI"/>
    <s v="Karan Patel"/>
    <x v="0"/>
    <n v="4960"/>
    <n v="396.8"/>
    <n v="4563.2"/>
    <n v="2"/>
    <x v="4"/>
  </r>
  <r>
    <s v="ORD-10441"/>
    <d v="2025-11-09T00:00:00"/>
    <x v="0"/>
    <s v="Jaipur"/>
    <x v="1"/>
    <s v="Enterprise"/>
    <s v="Mouse"/>
    <x v="1"/>
    <n v="3"/>
    <n v="910"/>
    <n v="0"/>
    <s v="UPI"/>
    <s v="Karan Patel"/>
    <x v="0"/>
    <n v="2730"/>
    <n v="0"/>
    <n v="2730"/>
    <n v="2"/>
    <x v="4"/>
  </r>
  <r>
    <s v="ORD-10326"/>
    <d v="2025-11-09T00:00:00"/>
    <x v="1"/>
    <s v="Mumbai"/>
    <x v="1"/>
    <s v="Small Business"/>
    <s v="Laptop"/>
    <x v="0"/>
    <n v="3"/>
    <n v="58970"/>
    <n v="0.05"/>
    <s v="Debit Card"/>
    <s v="Ananya Rao"/>
    <x v="0"/>
    <n v="176910"/>
    <n v="8845.5"/>
    <n v="168064.5"/>
    <n v="3"/>
    <x v="4"/>
  </r>
  <r>
    <s v="ORD-10470"/>
    <d v="2025-11-09T00:00:00"/>
    <x v="2"/>
    <s v="Hyderabad"/>
    <x v="2"/>
    <s v="Individual"/>
    <s v="Mouse"/>
    <x v="1"/>
    <n v="2"/>
    <n v="910"/>
    <n v="0"/>
    <s v="Cash on Delivery"/>
    <s v="Sneha Iyer"/>
    <x v="0"/>
    <n v="1820"/>
    <n v="0"/>
    <n v="1820"/>
    <n v="4"/>
    <x v="4"/>
  </r>
  <r>
    <s v="ORD-10463"/>
    <d v="2025-11-09T00:00:00"/>
    <x v="1"/>
    <s v="Surat"/>
    <x v="2"/>
    <s v="Small Business"/>
    <s v="Laptop"/>
    <x v="0"/>
    <n v="2"/>
    <n v="65440"/>
    <n v="0"/>
    <s v="Cash on Delivery"/>
    <s v="Karan Patel"/>
    <x v="0"/>
    <n v="130880"/>
    <n v="0"/>
    <n v="130880"/>
    <n v="3"/>
    <x v="4"/>
  </r>
  <r>
    <s v="ORD-10396"/>
    <d v="2025-11-10T00:00:00"/>
    <x v="2"/>
    <s v="Chennai"/>
    <x v="2"/>
    <s v="Enterprise"/>
    <s v="Laptop"/>
    <x v="0"/>
    <n v="5"/>
    <n v="60420"/>
    <n v="0.05"/>
    <s v="UPI"/>
    <s v="Karan Patel"/>
    <x v="0"/>
    <n v="302100"/>
    <n v="15105"/>
    <n v="286995"/>
    <n v="3"/>
    <x v="4"/>
  </r>
  <r>
    <s v="ORD-10503"/>
    <d v="2025-11-10T00:00:00"/>
    <x v="0"/>
    <s v="Delhi"/>
    <x v="1"/>
    <s v="Individual"/>
    <s v="Office Chair"/>
    <x v="4"/>
    <n v="1"/>
    <n v="11170"/>
    <n v="0.08"/>
    <s v="Debit Card"/>
    <s v="Neha Kapoor"/>
    <x v="0"/>
    <n v="11170"/>
    <n v="893.6"/>
    <n v="10276.4"/>
    <n v="3"/>
    <x v="4"/>
  </r>
  <r>
    <s v="ORD-10515"/>
    <d v="2025-11-10T00:00:00"/>
    <x v="1"/>
    <s v="Surat"/>
    <x v="1"/>
    <s v="Small Business"/>
    <s v="Monitor"/>
    <x v="0"/>
    <n v="2"/>
    <n v="16920"/>
    <n v="0.03"/>
    <s v="Net Banking"/>
    <s v="Vikram Singh"/>
    <x v="0"/>
    <n v="33840"/>
    <n v="1015.2"/>
    <n v="32824.800000000003"/>
    <n v="3"/>
    <x v="4"/>
  </r>
  <r>
    <s v="ORD-10032"/>
    <d v="2025-11-11T00:00:00"/>
    <x v="0"/>
    <s v="Jaipur"/>
    <x v="0"/>
    <s v="Individual"/>
    <s v="External SSD"/>
    <x v="3"/>
    <n v="1"/>
    <n v="7400"/>
    <n v="0"/>
    <s v="UPI"/>
    <s v="Aarav Mehta"/>
    <x v="0"/>
    <n v="7400"/>
    <n v="0"/>
    <n v="7400"/>
    <n v="3"/>
    <x v="4"/>
  </r>
  <r>
    <s v="ORD-10307"/>
    <d v="2025-11-12T00:00:00"/>
    <x v="0"/>
    <s v="Lucknow"/>
    <x v="1"/>
    <s v="Small Business"/>
    <s v="Laptop"/>
    <x v="0"/>
    <n v="1"/>
    <n v="59200"/>
    <n v="0.05"/>
    <s v="Debit Card"/>
    <s v="Karan Patel"/>
    <x v="0"/>
    <n v="59200"/>
    <n v="2960"/>
    <n v="56240"/>
    <n v="3"/>
    <x v="4"/>
  </r>
  <r>
    <s v="ORD-10094"/>
    <d v="2025-11-12T00:00:00"/>
    <x v="2"/>
    <s v="Kochi"/>
    <x v="1"/>
    <s v="Small Business"/>
    <s v="Smartphone"/>
    <x v="0"/>
    <n v="1"/>
    <n v="26970"/>
    <n v="0.08"/>
    <s v="UPI"/>
    <s v="Neha Kapoor"/>
    <x v="0"/>
    <n v="26970"/>
    <n v="2157.6"/>
    <n v="24812.400000000001"/>
    <n v="3"/>
    <x v="4"/>
  </r>
  <r>
    <s v="ORD-10542"/>
    <d v="2025-11-12T00:00:00"/>
    <x v="1"/>
    <s v="Pune"/>
    <x v="1"/>
    <s v="Individual"/>
    <s v="Office Desk"/>
    <x v="4"/>
    <n v="3"/>
    <n v="14170"/>
    <n v="0.03"/>
    <s v="Credit Card"/>
    <s v="Rohan Sharma"/>
    <x v="0"/>
    <n v="42510"/>
    <n v="1275.3"/>
    <n v="41234.699999999997"/>
    <n v="4"/>
    <x v="4"/>
  </r>
  <r>
    <s v="ORD-10548"/>
    <d v="2025-11-13T00:00:00"/>
    <x v="2"/>
    <s v="Kochi"/>
    <x v="1"/>
    <s v="Individual"/>
    <s v="Printer"/>
    <x v="2"/>
    <n v="1"/>
    <n v="13360"/>
    <n v="0.08"/>
    <s v="Debit Card"/>
    <s v="Priya Nair"/>
    <x v="0"/>
    <n v="13360"/>
    <n v="1068.8"/>
    <n v="12291.2"/>
    <n v="2"/>
    <x v="4"/>
  </r>
  <r>
    <s v="ORD-10380"/>
    <d v="2025-11-13T00:00:00"/>
    <x v="2"/>
    <s v="Hyderabad"/>
    <x v="1"/>
    <s v="Small Business"/>
    <s v="Mouse"/>
    <x v="1"/>
    <n v="3"/>
    <n v="970"/>
    <n v="0.15"/>
    <s v="Net Banking"/>
    <s v="Karan Patel"/>
    <x v="0"/>
    <n v="2910"/>
    <n v="436.5"/>
    <n v="2473.5"/>
    <n v="1"/>
    <x v="4"/>
  </r>
  <r>
    <s v="ORD-10420"/>
    <d v="2025-11-14T00:00:00"/>
    <x v="2"/>
    <s v="Kochi"/>
    <x v="2"/>
    <s v="Individual"/>
    <s v="External SSD"/>
    <x v="3"/>
    <n v="5"/>
    <n v="7570"/>
    <n v="0.08"/>
    <s v="Credit Card"/>
    <s v="Vikram Singh"/>
    <x v="0"/>
    <n v="37850"/>
    <n v="3028"/>
    <n v="34822"/>
    <n v="6"/>
    <x v="4"/>
  </r>
  <r>
    <s v="ORD-10555"/>
    <d v="2025-11-14T00:00:00"/>
    <x v="0"/>
    <s v="Jaipur"/>
    <x v="1"/>
    <s v="Individual"/>
    <s v="Wireless Headphones"/>
    <x v="0"/>
    <n v="1"/>
    <n v="3030"/>
    <n v="0.1"/>
    <s v="UPI"/>
    <s v="Neha Kapoor"/>
    <x v="0"/>
    <n v="3030"/>
    <n v="303"/>
    <n v="2727"/>
    <n v="6"/>
    <x v="4"/>
  </r>
  <r>
    <s v="ORD-10191"/>
    <d v="2025-11-15T00:00:00"/>
    <x v="0"/>
    <s v="Noida"/>
    <x v="2"/>
    <s v="Individual"/>
    <s v="Office Desk"/>
    <x v="4"/>
    <n v="2"/>
    <n v="14480"/>
    <n v="0"/>
    <s v="Cash on Delivery"/>
    <s v="Karan Patel"/>
    <x v="0"/>
    <n v="28960"/>
    <n v="0"/>
    <n v="28960"/>
    <n v="4"/>
    <x v="4"/>
  </r>
  <r>
    <s v="ORD-10451"/>
    <d v="2025-11-17T00:00:00"/>
    <x v="2"/>
    <s v="Chennai"/>
    <x v="1"/>
    <s v="Individual"/>
    <s v="External SSD"/>
    <x v="3"/>
    <n v="1"/>
    <n v="7160"/>
    <n v="0.08"/>
    <s v="Debit Card"/>
    <s v="Vikram Singh"/>
    <x v="0"/>
    <n v="7160"/>
    <n v="572.79999999999995"/>
    <n v="6587.2"/>
    <n v="2"/>
    <x v="4"/>
  </r>
  <r>
    <s v="ORD-10167"/>
    <d v="2025-11-17T00:00:00"/>
    <x v="0"/>
    <s v="Delhi"/>
    <x v="0"/>
    <s v="Individual"/>
    <s v="Printer"/>
    <x v="2"/>
    <n v="3"/>
    <n v="12380"/>
    <n v="0.05"/>
    <s v="Cash on Delivery"/>
    <s v="Rohan Sharma"/>
    <x v="0"/>
    <n v="37140"/>
    <n v="1857"/>
    <n v="35283"/>
    <n v="6"/>
    <x v="4"/>
  </r>
  <r>
    <s v="ORD-10097"/>
    <d v="2025-11-17T00:00:00"/>
    <x v="3"/>
    <s v="Bhubaneswar"/>
    <x v="1"/>
    <s v="Individual"/>
    <s v="External SSD"/>
    <x v="3"/>
    <n v="1"/>
    <n v="7490"/>
    <n v="0.15"/>
    <s v="Debit Card"/>
    <s v="Priya Nair"/>
    <x v="0"/>
    <n v="7490"/>
    <n v="1123.5"/>
    <n v="6366.5"/>
    <n v="4"/>
    <x v="4"/>
  </r>
  <r>
    <s v="ORD-10003"/>
    <d v="2025-11-18T00:00:00"/>
    <x v="3"/>
    <s v="Guwahati"/>
    <x v="1"/>
    <s v="Enterprise"/>
    <s v="Office Chair"/>
    <x v="4"/>
    <n v="3"/>
    <n v="11190"/>
    <n v="0.08"/>
    <s v="Credit Card"/>
    <s v="Vikram Singh"/>
    <x v="0"/>
    <n v="33570"/>
    <n v="2685.6"/>
    <n v="30884.400000000001"/>
    <n v="2"/>
    <x v="4"/>
  </r>
  <r>
    <s v="ORD-10558"/>
    <d v="2025-11-20T00:00:00"/>
    <x v="2"/>
    <s v="Bengaluru"/>
    <x v="1"/>
    <s v="Individual"/>
    <s v="Monitor"/>
    <x v="0"/>
    <n v="3"/>
    <n v="15980"/>
    <n v="0.05"/>
    <s v="UPI"/>
    <s v="Rohan Sharma"/>
    <x v="0"/>
    <n v="47940"/>
    <n v="2397"/>
    <n v="45543"/>
    <n v="4"/>
    <x v="4"/>
  </r>
  <r>
    <s v="ORD-10517"/>
    <d v="2025-11-21T00:00:00"/>
    <x v="2"/>
    <s v="Bengaluru"/>
    <x v="0"/>
    <s v="Individual"/>
    <s v="Laptop"/>
    <x v="0"/>
    <n v="1"/>
    <n v="66180"/>
    <n v="0.05"/>
    <s v="Credit Card"/>
    <s v="Vikram Singh"/>
    <x v="0"/>
    <n v="66180"/>
    <n v="3309"/>
    <n v="62871"/>
    <n v="6"/>
    <x v="4"/>
  </r>
  <r>
    <s v="ORD-10007"/>
    <d v="2025-11-22T00:00:00"/>
    <x v="2"/>
    <s v="Chennai"/>
    <x v="1"/>
    <s v="Individual"/>
    <s v="Monitor"/>
    <x v="0"/>
    <n v="1"/>
    <n v="15880"/>
    <n v="0"/>
    <s v="Debit Card"/>
    <s v="Ananya Rao"/>
    <x v="0"/>
    <n v="15880"/>
    <n v="0"/>
    <n v="15880"/>
    <n v="3"/>
    <x v="4"/>
  </r>
  <r>
    <s v="ORD-10321"/>
    <d v="2025-11-23T00:00:00"/>
    <x v="0"/>
    <s v="Noida"/>
    <x v="0"/>
    <s v="Individual"/>
    <s v="Power Bank"/>
    <x v="1"/>
    <n v="1"/>
    <n v="1910"/>
    <n v="0.05"/>
    <s v="Credit Card"/>
    <s v="Neha Kapoor"/>
    <x v="0"/>
    <n v="1910"/>
    <n v="95.5"/>
    <n v="1814.5"/>
    <n v="2"/>
    <x v="4"/>
  </r>
  <r>
    <s v="ORD-10483"/>
    <d v="2025-11-24T00:00:00"/>
    <x v="1"/>
    <s v="Ahmedabad"/>
    <x v="1"/>
    <s v="Individual"/>
    <s v="Mouse"/>
    <x v="1"/>
    <n v="3"/>
    <n v="890"/>
    <n v="0.05"/>
    <s v="Cash on Delivery"/>
    <s v="Neha Kapoor"/>
    <x v="0"/>
    <n v="2670"/>
    <n v="133.5"/>
    <n v="2536.5"/>
    <n v="5"/>
    <x v="4"/>
  </r>
  <r>
    <s v="ORD-10127"/>
    <d v="2025-11-25T00:00:00"/>
    <x v="2"/>
    <s v="Bengaluru"/>
    <x v="1"/>
    <s v="Individual"/>
    <s v="Office Chair"/>
    <x v="4"/>
    <n v="1"/>
    <n v="12230"/>
    <n v="0"/>
    <s v="Cash on Delivery"/>
    <s v="Neha Kapoor"/>
    <x v="0"/>
    <n v="12230"/>
    <n v="0"/>
    <n v="12230"/>
    <n v="2"/>
    <x v="4"/>
  </r>
  <r>
    <s v="ORD-10299"/>
    <d v="2025-11-25T00:00:00"/>
    <x v="0"/>
    <s v="Jaipur"/>
    <x v="0"/>
    <s v="Small Business"/>
    <s v="Smartphone"/>
    <x v="0"/>
    <n v="3"/>
    <n v="27700"/>
    <n v="0.08"/>
    <s v="UPI"/>
    <s v="Priya Nair"/>
    <x v="0"/>
    <n v="83100"/>
    <n v="6648"/>
    <n v="76452"/>
    <n v="2"/>
    <x v="4"/>
  </r>
  <r>
    <s v="ORD-10295"/>
    <d v="2025-11-26T00:00:00"/>
    <x v="2"/>
    <s v="Bengaluru"/>
    <x v="2"/>
    <s v="Small Business"/>
    <s v="External SSD"/>
    <x v="3"/>
    <n v="3"/>
    <n v="6870"/>
    <n v="0.1"/>
    <s v="UPI"/>
    <s v="Sneha Iyer"/>
    <x v="0"/>
    <n v="20610"/>
    <n v="2061"/>
    <n v="18549"/>
    <n v="3"/>
    <x v="4"/>
  </r>
  <r>
    <s v="ORD-10021"/>
    <d v="2025-11-26T00:00:00"/>
    <x v="2"/>
    <s v="Chennai"/>
    <x v="0"/>
    <s v="Small Business"/>
    <s v="Monitor"/>
    <x v="0"/>
    <n v="2"/>
    <n v="16960"/>
    <n v="0.05"/>
    <s v="Credit Card"/>
    <s v="Karan Patel"/>
    <x v="0"/>
    <n v="33920"/>
    <n v="1696"/>
    <n v="32224"/>
    <n v="5"/>
    <x v="4"/>
  </r>
  <r>
    <s v="ORD-10627"/>
    <d v="2025-11-26T00:00:00"/>
    <x v="0"/>
    <s v="Jaipur"/>
    <x v="0"/>
    <s v="Individual"/>
    <s v="Office Chair"/>
    <x v="4"/>
    <n v="2"/>
    <n v="11870"/>
    <n v="0.03"/>
    <s v="Credit Card"/>
    <s v="Neha Kapoor"/>
    <x v="0"/>
    <n v="23740"/>
    <n v="712.2"/>
    <n v="23027.8"/>
    <n v="3"/>
    <x v="4"/>
  </r>
  <r>
    <s v="ORD-10448"/>
    <d v="2025-11-28T00:00:00"/>
    <x v="3"/>
    <s v="Bhubaneswar"/>
    <x v="1"/>
    <s v="Individual"/>
    <s v="Mouse"/>
    <x v="1"/>
    <n v="4"/>
    <n v="940"/>
    <n v="0.15"/>
    <s v="Cash on Delivery"/>
    <s v="Sneha Iyer"/>
    <x v="0"/>
    <n v="3760"/>
    <n v="564"/>
    <n v="3196"/>
    <n v="3"/>
    <x v="4"/>
  </r>
  <r>
    <s v="ORD-10025"/>
    <d v="2025-11-29T00:00:00"/>
    <x v="2"/>
    <s v="Hyderabad"/>
    <x v="1"/>
    <s v="Individual"/>
    <s v="Smartphone"/>
    <x v="0"/>
    <n v="1"/>
    <n v="29720"/>
    <n v="0"/>
    <s v="UPI"/>
    <s v="Neha Kapoor"/>
    <x v="0"/>
    <n v="29720"/>
    <n v="0"/>
    <n v="29720"/>
    <n v="1"/>
    <x v="4"/>
  </r>
  <r>
    <s v="ORD-10258"/>
    <d v="2025-11-29T00:00:00"/>
    <x v="0"/>
    <s v="Delhi"/>
    <x v="0"/>
    <s v="Small Business"/>
    <s v="Office Desk"/>
    <x v="4"/>
    <n v="1"/>
    <n v="13510"/>
    <n v="0.05"/>
    <s v="Credit Card"/>
    <s v="Rohan Sharma"/>
    <x v="1"/>
    <n v="0"/>
    <n v="0"/>
    <n v="0"/>
    <m/>
    <x v="4"/>
  </r>
  <r>
    <s v="ORD-10280"/>
    <d v="2025-11-29T00:00:00"/>
    <x v="3"/>
    <s v="Guwahati"/>
    <x v="0"/>
    <s v="Individual"/>
    <s v="Backpack"/>
    <x v="1"/>
    <n v="2"/>
    <n v="2340"/>
    <n v="0.1"/>
    <s v="Cash on Delivery"/>
    <s v="Karan Patel"/>
    <x v="0"/>
    <n v="4680"/>
    <n v="468"/>
    <n v="4212"/>
    <n v="1"/>
    <x v="4"/>
  </r>
  <r>
    <s v="ORD-10153"/>
    <d v="2025-11-30T00:00:00"/>
    <x v="3"/>
    <s v="Kolkata"/>
    <x v="0"/>
    <s v="Individual"/>
    <s v="Tablet"/>
    <x v="0"/>
    <n v="1"/>
    <n v="23240"/>
    <n v="0"/>
    <s v="UPI"/>
    <s v="Priya Nair"/>
    <x v="2"/>
    <n v="23240"/>
    <n v="0"/>
    <n v="23240"/>
    <n v="5"/>
    <x v="4"/>
  </r>
  <r>
    <s v="ORD-10621"/>
    <d v="2025-12-01T00:00:00"/>
    <x v="3"/>
    <s v="Kolkata"/>
    <x v="2"/>
    <s v="Small Business"/>
    <s v="Printer"/>
    <x v="2"/>
    <n v="3"/>
    <n v="12710"/>
    <n v="0.03"/>
    <s v="Net Banking"/>
    <s v="Vikram Singh"/>
    <x v="0"/>
    <n v="38130"/>
    <n v="1143.9000000000001"/>
    <n v="36986.1"/>
    <n v="5"/>
    <x v="5"/>
  </r>
  <r>
    <s v="ORD-10132"/>
    <d v="2025-12-01T00:00:00"/>
    <x v="1"/>
    <s v="Surat"/>
    <x v="1"/>
    <s v="Individual"/>
    <s v="Mouse"/>
    <x v="1"/>
    <n v="3"/>
    <n v="970"/>
    <n v="0.03"/>
    <s v="UPI"/>
    <s v="Ananya Rao"/>
    <x v="0"/>
    <n v="2910"/>
    <n v="87.3"/>
    <n v="2822.7"/>
    <n v="3"/>
    <x v="5"/>
  </r>
  <r>
    <s v="ORD-10518"/>
    <d v="2025-12-01T00:00:00"/>
    <x v="2"/>
    <s v="Bengaluru"/>
    <x v="0"/>
    <s v="Individual"/>
    <s v="Office Desk"/>
    <x v="4"/>
    <n v="3"/>
    <n v="13900"/>
    <n v="0.1"/>
    <s v="Cash on Delivery"/>
    <s v="Ananya Rao"/>
    <x v="0"/>
    <n v="41700"/>
    <n v="4170"/>
    <n v="37530"/>
    <n v="3"/>
    <x v="5"/>
  </r>
  <r>
    <s v="ORD-10220"/>
    <d v="2025-12-01T00:00:00"/>
    <x v="2"/>
    <s v="Bengaluru"/>
    <x v="1"/>
    <s v="Individual"/>
    <s v="Monitor"/>
    <x v="0"/>
    <n v="2"/>
    <n v="16780"/>
    <n v="0.1"/>
    <s v="UPI"/>
    <s v="Ananya Rao"/>
    <x v="0"/>
    <n v="33560"/>
    <n v="3356"/>
    <n v="30204"/>
    <n v="3"/>
    <x v="5"/>
  </r>
  <r>
    <s v="ORD-10287"/>
    <d v="2025-12-01T00:00:00"/>
    <x v="2"/>
    <s v="Hyderabad"/>
    <x v="0"/>
    <s v="Individual"/>
    <s v="Smartphone"/>
    <x v="0"/>
    <n v="1"/>
    <n v="27170"/>
    <n v="0.08"/>
    <s v="Credit Card"/>
    <s v="Karan Patel"/>
    <x v="1"/>
    <n v="0"/>
    <n v="0"/>
    <n v="0"/>
    <m/>
    <x v="5"/>
  </r>
  <r>
    <s v="ORD-10454"/>
    <d v="2025-12-04T00:00:00"/>
    <x v="0"/>
    <s v="Lucknow"/>
    <x v="1"/>
    <s v="Individual"/>
    <s v="Keyboard"/>
    <x v="1"/>
    <n v="3"/>
    <n v="1770"/>
    <n v="0.08"/>
    <s v="Credit Card"/>
    <s v="Vikram Singh"/>
    <x v="0"/>
    <n v="5310"/>
    <n v="424.8"/>
    <n v="4885.2"/>
    <n v="4"/>
    <x v="5"/>
  </r>
  <r>
    <s v="ORD-10583"/>
    <d v="2025-12-04T00:00:00"/>
    <x v="0"/>
    <s v="Noida"/>
    <x v="2"/>
    <s v="Enterprise"/>
    <s v="Monitor"/>
    <x v="0"/>
    <n v="1"/>
    <n v="16400"/>
    <n v="0"/>
    <s v="Net Banking"/>
    <s v="Sneha Iyer"/>
    <x v="0"/>
    <n v="16400"/>
    <n v="0"/>
    <n v="16400"/>
    <n v="2"/>
    <x v="5"/>
  </r>
  <r>
    <s v="ORD-10488"/>
    <d v="2025-12-04T00:00:00"/>
    <x v="1"/>
    <s v="Mumbai"/>
    <x v="1"/>
    <s v="Small Business"/>
    <s v="Office Desk"/>
    <x v="4"/>
    <n v="2"/>
    <n v="14960"/>
    <n v="0.05"/>
    <s v="Credit Card"/>
    <s v="Sneha Iyer"/>
    <x v="0"/>
    <n v="29920"/>
    <n v="1496"/>
    <n v="28424"/>
    <n v="3"/>
    <x v="5"/>
  </r>
  <r>
    <s v="ORD-10554"/>
    <d v="2025-12-04T00:00:00"/>
    <x v="3"/>
    <s v="Bhubaneswar"/>
    <x v="1"/>
    <s v="Individual"/>
    <s v="Tablet"/>
    <x v="0"/>
    <n v="3"/>
    <n v="23350"/>
    <n v="0.08"/>
    <s v="Cash on Delivery"/>
    <s v="Priya Nair"/>
    <x v="0"/>
    <n v="70050"/>
    <n v="5604"/>
    <n v="64446"/>
    <n v="4"/>
    <x v="5"/>
  </r>
  <r>
    <s v="ORD-10100"/>
    <d v="2025-12-05T00:00:00"/>
    <x v="2"/>
    <s v="Bengaluru"/>
    <x v="2"/>
    <s v="Small Business"/>
    <s v="Smartphone"/>
    <x v="0"/>
    <n v="3"/>
    <n v="26730"/>
    <n v="0"/>
    <s v="Net Banking"/>
    <s v="Sneha Iyer"/>
    <x v="0"/>
    <n v="80190"/>
    <n v="0"/>
    <n v="80190"/>
    <n v="6"/>
    <x v="5"/>
  </r>
  <r>
    <s v="ORD-10622"/>
    <d v="2025-12-06T00:00:00"/>
    <x v="0"/>
    <s v="Lucknow"/>
    <x v="2"/>
    <s v="Individual"/>
    <s v="Mouse"/>
    <x v="1"/>
    <n v="1"/>
    <n v="970"/>
    <n v="0.08"/>
    <s v="Net Banking"/>
    <s v="Rohan Sharma"/>
    <x v="0"/>
    <n v="970"/>
    <n v="77.599999999999994"/>
    <n v="892.4"/>
    <n v="2"/>
    <x v="5"/>
  </r>
  <r>
    <s v="ORD-10223"/>
    <d v="2025-12-07T00:00:00"/>
    <x v="0"/>
    <s v="Lucknow"/>
    <x v="0"/>
    <s v="Individual"/>
    <s v="Smartphone"/>
    <x v="0"/>
    <n v="3"/>
    <n v="28090"/>
    <n v="0.05"/>
    <s v="UPI"/>
    <s v="Karan Patel"/>
    <x v="0"/>
    <n v="84270"/>
    <n v="4213.5"/>
    <n v="80056.5"/>
    <n v="3"/>
    <x v="5"/>
  </r>
  <r>
    <s v="ORD-10157"/>
    <d v="2025-12-07T00:00:00"/>
    <x v="0"/>
    <s v="Noida"/>
    <x v="1"/>
    <s v="Small Business"/>
    <s v="External SSD"/>
    <x v="3"/>
    <n v="5"/>
    <n v="7410"/>
    <n v="0.03"/>
    <s v="Credit Card"/>
    <s v="Rohan Sharma"/>
    <x v="0"/>
    <n v="37050"/>
    <n v="1111.5"/>
    <n v="35938.5"/>
    <n v="2"/>
    <x v="5"/>
  </r>
  <r>
    <s v="ORD-10188"/>
    <d v="2025-12-07T00:00:00"/>
    <x v="2"/>
    <s v="Hyderabad"/>
    <x v="1"/>
    <s v="Individual"/>
    <s v="External SSD"/>
    <x v="3"/>
    <n v="5"/>
    <n v="6880"/>
    <n v="0.1"/>
    <s v="UPI"/>
    <s v="Karan Patel"/>
    <x v="0"/>
    <n v="34400"/>
    <n v="3440"/>
    <n v="30960"/>
    <n v="4"/>
    <x v="5"/>
  </r>
  <r>
    <s v="ORD-10241"/>
    <d v="2025-12-08T00:00:00"/>
    <x v="1"/>
    <s v="Pune"/>
    <x v="0"/>
    <s v="Enterprise"/>
    <s v="Webcam"/>
    <x v="1"/>
    <n v="4"/>
    <n v="3640"/>
    <n v="0.03"/>
    <s v="Credit Card"/>
    <s v="Rohan Sharma"/>
    <x v="0"/>
    <n v="14560"/>
    <n v="436.8"/>
    <n v="14123.2"/>
    <n v="2"/>
    <x v="5"/>
  </r>
  <r>
    <s v="ORD-10238"/>
    <d v="2025-12-08T00:00:00"/>
    <x v="1"/>
    <s v="Mumbai"/>
    <x v="2"/>
    <s v="Individual"/>
    <s v="Office Chair"/>
    <x v="4"/>
    <n v="3"/>
    <n v="10730"/>
    <n v="0.05"/>
    <s v="UPI"/>
    <s v="Aarav Mehta"/>
    <x v="0"/>
    <n v="32190"/>
    <n v="1609.5"/>
    <n v="30580.5"/>
    <n v="1"/>
    <x v="5"/>
  </r>
  <r>
    <s v="ORD-10254"/>
    <d v="2025-12-08T00:00:00"/>
    <x v="0"/>
    <s v="Noida"/>
    <x v="0"/>
    <s v="Individual"/>
    <s v="Office Chair"/>
    <x v="4"/>
    <n v="4"/>
    <n v="11750"/>
    <n v="0"/>
    <s v="UPI"/>
    <s v="Sneha Iyer"/>
    <x v="0"/>
    <n v="47000"/>
    <n v="0"/>
    <n v="47000"/>
    <n v="4"/>
    <x v="5"/>
  </r>
  <r>
    <s v="ORD-10270"/>
    <d v="2025-12-10T00:00:00"/>
    <x v="1"/>
    <s v="Pune"/>
    <x v="0"/>
    <s v="Individual"/>
    <s v="Backpack"/>
    <x v="1"/>
    <n v="5"/>
    <n v="2290"/>
    <n v="0.1"/>
    <s v="Credit Card"/>
    <s v="Rohan Sharma"/>
    <x v="0"/>
    <n v="11450"/>
    <n v="1145"/>
    <n v="10305"/>
    <n v="4"/>
    <x v="5"/>
  </r>
  <r>
    <s v="ORD-10628"/>
    <d v="2025-12-10T00:00:00"/>
    <x v="3"/>
    <s v="Bhubaneswar"/>
    <x v="2"/>
    <s v="Small Business"/>
    <s v="External SSD"/>
    <x v="3"/>
    <n v="3"/>
    <n v="7210"/>
    <n v="0.03"/>
    <s v="Cash on Delivery"/>
    <s v="Rohan Sharma"/>
    <x v="0"/>
    <n v="21630"/>
    <n v="648.9"/>
    <n v="20981.1"/>
    <n v="6"/>
    <x v="5"/>
  </r>
  <r>
    <s v="ORD-10553"/>
    <d v="2025-12-10T00:00:00"/>
    <x v="0"/>
    <s v="Jaipur"/>
    <x v="1"/>
    <s v="Individual"/>
    <s v="Office Chair"/>
    <x v="4"/>
    <n v="2"/>
    <n v="10860"/>
    <n v="0.03"/>
    <s v="Net Banking"/>
    <s v="Sneha Iyer"/>
    <x v="0"/>
    <n v="21720"/>
    <n v="651.6"/>
    <n v="21068.400000000001"/>
    <n v="3"/>
    <x v="5"/>
  </r>
  <r>
    <s v="ORD-10467"/>
    <d v="2025-12-10T00:00:00"/>
    <x v="1"/>
    <s v="Surat"/>
    <x v="2"/>
    <s v="Individual"/>
    <s v="External SSD"/>
    <x v="3"/>
    <n v="1"/>
    <n v="6720"/>
    <n v="0.05"/>
    <s v="Net Banking"/>
    <s v="Ananya Rao"/>
    <x v="0"/>
    <n v="6720"/>
    <n v="336"/>
    <n v="6384"/>
    <n v="4"/>
    <x v="5"/>
  </r>
  <r>
    <s v="ORD-10314"/>
    <d v="2025-12-11T00:00:00"/>
    <x v="1"/>
    <s v="Pune"/>
    <x v="0"/>
    <s v="Small Business"/>
    <s v="Mouse"/>
    <x v="1"/>
    <n v="4"/>
    <n v="950"/>
    <n v="0.1"/>
    <s v="Cash on Delivery"/>
    <s v="Neha Kapoor"/>
    <x v="0"/>
    <n v="3800"/>
    <n v="380"/>
    <n v="3420"/>
    <n v="3"/>
    <x v="5"/>
  </r>
  <r>
    <s v="ORD-10444"/>
    <d v="2025-12-13T00:00:00"/>
    <x v="1"/>
    <s v="Mumbai"/>
    <x v="0"/>
    <s v="Small Business"/>
    <s v="Wireless Headphones"/>
    <x v="0"/>
    <n v="1"/>
    <n v="3350"/>
    <n v="0.03"/>
    <s v="UPI"/>
    <s v="Neha Kapoor"/>
    <x v="0"/>
    <n v="3350"/>
    <n v="100.5"/>
    <n v="3249.5"/>
    <n v="2"/>
    <x v="5"/>
  </r>
  <r>
    <s v="ORD-10142"/>
    <d v="2025-12-13T00:00:00"/>
    <x v="2"/>
    <s v="Kochi"/>
    <x v="0"/>
    <s v="Small Business"/>
    <s v="Wireless Headphones"/>
    <x v="0"/>
    <n v="3"/>
    <n v="3070"/>
    <n v="0.15"/>
    <s v="UPI"/>
    <s v="Sneha Iyer"/>
    <x v="0"/>
    <n v="9210"/>
    <n v="1381.5"/>
    <n v="7828.5"/>
    <n v="1"/>
    <x v="5"/>
  </r>
  <r>
    <s v="ORD-10316"/>
    <d v="2025-12-14T00:00:00"/>
    <x v="2"/>
    <s v="Kochi"/>
    <x v="1"/>
    <s v="Individual"/>
    <s v="Office Desk"/>
    <x v="4"/>
    <n v="3"/>
    <n v="14370"/>
    <n v="0"/>
    <s v="Debit Card"/>
    <s v="Priya Nair"/>
    <x v="0"/>
    <n v="43110"/>
    <n v="0"/>
    <n v="43110"/>
    <n v="4"/>
    <x v="5"/>
  </r>
  <r>
    <s v="ORD-10325"/>
    <d v="2025-12-15T00:00:00"/>
    <x v="0"/>
    <s v="Jaipur"/>
    <x v="1"/>
    <s v="Individual"/>
    <s v="Smartphone"/>
    <x v="0"/>
    <n v="4"/>
    <n v="27120"/>
    <n v="0"/>
    <s v="UPI"/>
    <s v="Priya Nair"/>
    <x v="0"/>
    <n v="108480"/>
    <n v="0"/>
    <n v="108480"/>
    <n v="2"/>
    <x v="5"/>
  </r>
  <r>
    <s v="ORD-10570"/>
    <d v="2025-12-16T00:00:00"/>
    <x v="2"/>
    <s v="Kochi"/>
    <x v="0"/>
    <s v="Individual"/>
    <s v="Wireless Headphones"/>
    <x v="0"/>
    <n v="2"/>
    <n v="3320"/>
    <n v="0"/>
    <s v="Cash on Delivery"/>
    <s v="Neha Kapoor"/>
    <x v="0"/>
    <n v="6640"/>
    <n v="0"/>
    <n v="6640"/>
    <n v="2"/>
    <x v="5"/>
  </r>
  <r>
    <s v="ORD-10182"/>
    <d v="2025-12-16T00:00:00"/>
    <x v="2"/>
    <s v="Bengaluru"/>
    <x v="1"/>
    <s v="Individual"/>
    <s v="Wireless Headphones"/>
    <x v="0"/>
    <n v="1"/>
    <n v="3200"/>
    <n v="0.05"/>
    <s v="Cash on Delivery"/>
    <s v="Ananya Rao"/>
    <x v="0"/>
    <n v="3200"/>
    <n v="160"/>
    <n v="3040"/>
    <n v="6"/>
    <x v="5"/>
  </r>
  <r>
    <s v="ORD-10437"/>
    <d v="2025-12-16T00:00:00"/>
    <x v="2"/>
    <s v="Bengaluru"/>
    <x v="1"/>
    <s v="Individual"/>
    <s v="Monitor"/>
    <x v="0"/>
    <n v="1"/>
    <n v="16080"/>
    <n v="0"/>
    <s v="UPI"/>
    <s v="Rohan Sharma"/>
    <x v="0"/>
    <n v="16080"/>
    <n v="0"/>
    <n v="16080"/>
    <n v="1"/>
    <x v="5"/>
  </r>
  <r>
    <s v="ORD-10063"/>
    <d v="2025-12-16T00:00:00"/>
    <x v="1"/>
    <s v="Pune"/>
    <x v="2"/>
    <s v="Enterprise"/>
    <s v="Office Desk"/>
    <x v="4"/>
    <n v="3"/>
    <n v="14990"/>
    <n v="0.08"/>
    <s v="Cash on Delivery"/>
    <s v="Sneha Iyer"/>
    <x v="0"/>
    <n v="44970"/>
    <n v="3597.6"/>
    <n v="41372.400000000001"/>
    <n v="4"/>
    <x v="5"/>
  </r>
  <r>
    <s v="ORD-10443"/>
    <d v="2025-12-17T00:00:00"/>
    <x v="3"/>
    <s v="Kolkata"/>
    <x v="0"/>
    <s v="Enterprise"/>
    <s v="Keyboard"/>
    <x v="1"/>
    <n v="3"/>
    <n v="1860"/>
    <n v="0.05"/>
    <s v="Net Banking"/>
    <s v="Priya Nair"/>
    <x v="0"/>
    <n v="5580"/>
    <n v="279"/>
    <n v="5301"/>
    <n v="4"/>
    <x v="5"/>
  </r>
  <r>
    <s v="ORD-10384"/>
    <d v="2025-12-18T00:00:00"/>
    <x v="0"/>
    <s v="Jaipur"/>
    <x v="0"/>
    <s v="Small Business"/>
    <s v="External SSD"/>
    <x v="3"/>
    <n v="1"/>
    <n v="7480"/>
    <n v="0.08"/>
    <s v="Debit Card"/>
    <s v="Ananya Rao"/>
    <x v="2"/>
    <n v="7480"/>
    <n v="598.4"/>
    <n v="6881.6"/>
    <n v="4"/>
    <x v="5"/>
  </r>
  <r>
    <s v="ORD-10317"/>
    <d v="2025-12-18T00:00:00"/>
    <x v="1"/>
    <s v="Surat"/>
    <x v="0"/>
    <s v="Enterprise"/>
    <s v="Keyboard"/>
    <x v="1"/>
    <n v="4"/>
    <n v="1750"/>
    <n v="0.1"/>
    <s v="Credit Card"/>
    <s v="Sneha Iyer"/>
    <x v="0"/>
    <n v="7000"/>
    <n v="700"/>
    <n v="6300"/>
    <n v="5"/>
    <x v="5"/>
  </r>
  <r>
    <s v="ORD-10268"/>
    <d v="2025-12-19T00:00:00"/>
    <x v="1"/>
    <s v="Ahmedabad"/>
    <x v="1"/>
    <s v="Individual"/>
    <s v="Laptop"/>
    <x v="0"/>
    <n v="2"/>
    <n v="62470"/>
    <n v="0.15"/>
    <s v="Debit Card"/>
    <s v="Rohan Sharma"/>
    <x v="0"/>
    <n v="124940"/>
    <n v="18741"/>
    <n v="106199"/>
    <n v="5"/>
    <x v="5"/>
  </r>
  <r>
    <s v="ORD-10236"/>
    <d v="2025-12-19T00:00:00"/>
    <x v="1"/>
    <s v="Ahmedabad"/>
    <x v="0"/>
    <s v="Individual"/>
    <s v="Wireless Headphones"/>
    <x v="0"/>
    <n v="4"/>
    <n v="3340"/>
    <n v="0.05"/>
    <s v="UPI"/>
    <s v="Rohan Sharma"/>
    <x v="0"/>
    <n v="13360"/>
    <n v="668"/>
    <n v="12692"/>
    <n v="1"/>
    <x v="5"/>
  </r>
  <r>
    <s v="ORD-10609"/>
    <d v="2025-12-19T00:00:00"/>
    <x v="2"/>
    <s v="Bengaluru"/>
    <x v="2"/>
    <s v="Small Business"/>
    <s v="Laptop"/>
    <x v="0"/>
    <n v="3"/>
    <n v="65000"/>
    <n v="0.08"/>
    <s v="Credit Card"/>
    <s v="Ananya Rao"/>
    <x v="0"/>
    <n v="195000"/>
    <n v="15600"/>
    <n v="179400"/>
    <n v="3"/>
    <x v="5"/>
  </r>
  <r>
    <s v="ORD-10456"/>
    <d v="2025-12-19T00:00:00"/>
    <x v="2"/>
    <s v="Kochi"/>
    <x v="0"/>
    <s v="Small Business"/>
    <s v="Office Desk"/>
    <x v="4"/>
    <n v="1"/>
    <n v="14730"/>
    <n v="0.05"/>
    <s v="UPI"/>
    <s v="Vikram Singh"/>
    <x v="1"/>
    <n v="0"/>
    <n v="0"/>
    <n v="0"/>
    <m/>
    <x v="5"/>
  </r>
  <r>
    <s v="ORD-10062"/>
    <d v="2025-12-22T00:00:00"/>
    <x v="1"/>
    <s v="Surat"/>
    <x v="0"/>
    <s v="Individual"/>
    <s v="Keyboard"/>
    <x v="1"/>
    <n v="3"/>
    <n v="1750"/>
    <n v="0"/>
    <s v="Credit Card"/>
    <s v="Vikram Singh"/>
    <x v="0"/>
    <n v="5250"/>
    <n v="0"/>
    <n v="5250"/>
    <n v="2"/>
    <x v="5"/>
  </r>
  <r>
    <s v="ORD-10566"/>
    <d v="2025-12-22T00:00:00"/>
    <x v="1"/>
    <s v="Surat"/>
    <x v="1"/>
    <s v="Individual"/>
    <s v="Laptop"/>
    <x v="0"/>
    <n v="2"/>
    <n v="63960"/>
    <n v="0"/>
    <s v="Credit Card"/>
    <s v="Ananya Rao"/>
    <x v="0"/>
    <n v="127920"/>
    <n v="0"/>
    <n v="127920"/>
    <n v="3"/>
    <x v="5"/>
  </r>
  <r>
    <s v="ORD-10123"/>
    <d v="2025-12-23T00:00:00"/>
    <x v="2"/>
    <s v="Hyderabad"/>
    <x v="1"/>
    <s v="Individual"/>
    <s v="Wireless Headphones"/>
    <x v="0"/>
    <n v="5"/>
    <n v="3330"/>
    <n v="0.05"/>
    <s v="Net Banking"/>
    <s v="Vikram Singh"/>
    <x v="0"/>
    <n v="16650"/>
    <n v="832.5"/>
    <n v="15817.5"/>
    <n v="6"/>
    <x v="5"/>
  </r>
  <r>
    <s v="ORD-10491"/>
    <d v="2025-12-26T00:00:00"/>
    <x v="3"/>
    <s v="Kolkata"/>
    <x v="0"/>
    <s v="Individual"/>
    <s v="Laptop"/>
    <x v="0"/>
    <n v="1"/>
    <n v="65190"/>
    <n v="0"/>
    <s v="Debit Card"/>
    <s v="Sneha Iyer"/>
    <x v="0"/>
    <n v="65190"/>
    <n v="0"/>
    <n v="65190"/>
    <n v="3"/>
    <x v="5"/>
  </r>
  <r>
    <s v="ORD-10340"/>
    <d v="2025-12-26T00:00:00"/>
    <x v="2"/>
    <s v="Chennai"/>
    <x v="1"/>
    <s v="Small Business"/>
    <s v="Backpack"/>
    <x v="1"/>
    <n v="2"/>
    <n v="2450"/>
    <n v="0.03"/>
    <s v="Credit Card"/>
    <s v="Sneha Iyer"/>
    <x v="0"/>
    <n v="4900"/>
    <n v="147"/>
    <n v="4753"/>
    <n v="3"/>
    <x v="5"/>
  </r>
  <r>
    <s v="ORD-10524"/>
    <d v="2025-12-26T00:00:00"/>
    <x v="2"/>
    <s v="Bengaluru"/>
    <x v="1"/>
    <s v="Individual"/>
    <s v="Mouse"/>
    <x v="1"/>
    <n v="1"/>
    <n v="900"/>
    <n v="0.05"/>
    <s v="Net Banking"/>
    <s v="Rohan Sharma"/>
    <x v="0"/>
    <n v="900"/>
    <n v="45"/>
    <n v="855"/>
    <n v="3"/>
    <x v="5"/>
  </r>
  <r>
    <s v="ORD-10251"/>
    <d v="2025-12-26T00:00:00"/>
    <x v="2"/>
    <s v="Bengaluru"/>
    <x v="0"/>
    <s v="Individual"/>
    <s v="Wireless Headphones"/>
    <x v="0"/>
    <n v="3"/>
    <n v="3360"/>
    <n v="0.05"/>
    <s v="UPI"/>
    <s v="Aarav Mehta"/>
    <x v="0"/>
    <n v="10080"/>
    <n v="504"/>
    <n v="9576"/>
    <n v="3"/>
    <x v="5"/>
  </r>
  <r>
    <s v="ORD-10133"/>
    <d v="2025-12-27T00:00:00"/>
    <x v="0"/>
    <s v="Delhi"/>
    <x v="0"/>
    <s v="Individual"/>
    <s v="Mouse"/>
    <x v="1"/>
    <n v="1"/>
    <n v="960"/>
    <n v="0.08"/>
    <s v="Cash on Delivery"/>
    <s v="Aarav Mehta"/>
    <x v="0"/>
    <n v="960"/>
    <n v="76.8"/>
    <n v="883.2"/>
    <n v="3"/>
    <x v="5"/>
  </r>
  <r>
    <s v="ORD-10038"/>
    <d v="2025-12-27T00:00:00"/>
    <x v="1"/>
    <s v="Ahmedabad"/>
    <x v="0"/>
    <s v="Small Business"/>
    <s v="Tablet"/>
    <x v="0"/>
    <n v="5"/>
    <n v="21830"/>
    <n v="0"/>
    <s v="Credit Card"/>
    <s v="Rohan Sharma"/>
    <x v="0"/>
    <n v="109150"/>
    <n v="0"/>
    <n v="109150"/>
    <n v="1"/>
    <x v="5"/>
  </r>
  <r>
    <s v="ORD-10197"/>
    <d v="2025-12-28T00:00:00"/>
    <x v="2"/>
    <s v="Chennai"/>
    <x v="1"/>
    <s v="Individual"/>
    <s v="Tablet"/>
    <x v="0"/>
    <n v="1"/>
    <n v="21880"/>
    <n v="0"/>
    <s v="Credit Card"/>
    <s v="Rohan Sharma"/>
    <x v="0"/>
    <n v="21880"/>
    <n v="0"/>
    <n v="21880"/>
    <n v="4"/>
    <x v="5"/>
  </r>
  <r>
    <s v="ORD-10639"/>
    <d v="2025-12-30T00:00:00"/>
    <x v="2"/>
    <s v="Chennai"/>
    <x v="0"/>
    <s v="Enterprise"/>
    <s v="Laptop"/>
    <x v="0"/>
    <n v="2"/>
    <n v="62040"/>
    <n v="0"/>
    <s v="Debit Card"/>
    <s v="Ananya Rao"/>
    <x v="0"/>
    <n v="124080"/>
    <n v="0"/>
    <n v="124080"/>
    <n v="3"/>
    <x v="5"/>
  </r>
  <r>
    <s v="ORD-10362"/>
    <d v="2025-12-30T00:00:00"/>
    <x v="1"/>
    <s v="Mumbai"/>
    <x v="0"/>
    <s v="Individual"/>
    <s v="Monitor"/>
    <x v="0"/>
    <n v="2"/>
    <n v="17310"/>
    <n v="0.05"/>
    <s v="Credit Card"/>
    <s v="Rohan Sharma"/>
    <x v="0"/>
    <n v="34620"/>
    <n v="1731"/>
    <n v="32889"/>
    <n v="3"/>
    <x v="5"/>
  </r>
  <r>
    <s v="ORD-10650"/>
    <d v="2025-12-31T00:00:00"/>
    <x v="1"/>
    <s v="Ahmedabad"/>
    <x v="0"/>
    <s v="Small Business"/>
    <s v="Keyboard"/>
    <x v="1"/>
    <n v="2"/>
    <n v="1710"/>
    <n v="0.08"/>
    <s v="Credit Card"/>
    <s v="Sneha Iyer"/>
    <x v="0"/>
    <n v="3420"/>
    <n v="273.60000000000002"/>
    <n v="3146.4"/>
    <n v="1"/>
    <x v="5"/>
  </r>
  <r>
    <s v="ORD-10354"/>
    <d v="2025-12-31T00:00:00"/>
    <x v="1"/>
    <s v="Surat"/>
    <x v="1"/>
    <s v="Individual"/>
    <s v="Wireless Headphones"/>
    <x v="0"/>
    <n v="3"/>
    <n v="3290"/>
    <n v="0.1"/>
    <s v="Cash on Delivery"/>
    <s v="Sneha Iyer"/>
    <x v="0"/>
    <n v="9870"/>
    <n v="987"/>
    <n v="8883"/>
    <n v="3"/>
    <x v="5"/>
  </r>
  <r>
    <s v="ORD-10168"/>
    <d v="2025-12-31T00:00:00"/>
    <x v="2"/>
    <s v="Chennai"/>
    <x v="1"/>
    <s v="Individual"/>
    <s v="Monitor"/>
    <x v="0"/>
    <n v="1"/>
    <n v="16890"/>
    <n v="0.03"/>
    <s v="Net Banking"/>
    <s v="Ananya Rao"/>
    <x v="0"/>
    <n v="16890"/>
    <n v="506.7"/>
    <n v="16383.3"/>
    <n v="4"/>
    <x v="5"/>
  </r>
  <r>
    <s v="ORD-10084"/>
    <d v="2025-12-31T00:00:00"/>
    <x v="3"/>
    <s v="Guwahati"/>
    <x v="1"/>
    <s v="Individual"/>
    <s v="Wireless Headphones"/>
    <x v="0"/>
    <n v="1"/>
    <n v="3110"/>
    <n v="0.05"/>
    <s v="Credit Card"/>
    <s v="Aarav Mehta"/>
    <x v="0"/>
    <n v="3110"/>
    <n v="155.5"/>
    <n v="2954.5"/>
    <n v="6"/>
    <x v="5"/>
  </r>
  <r>
    <s v="ORD-10079"/>
    <d v="2026-01-01T00:00:00"/>
    <x v="0"/>
    <s v="Lucknow"/>
    <x v="0"/>
    <s v="Individual"/>
    <s v="Mouse"/>
    <x v="1"/>
    <n v="4"/>
    <n v="980"/>
    <n v="0.03"/>
    <s v="Net Banking"/>
    <s v="Sneha Iyer"/>
    <x v="0"/>
    <n v="3920"/>
    <n v="117.6"/>
    <n v="3802.4"/>
    <n v="2"/>
    <x v="6"/>
  </r>
  <r>
    <s v="ORD-10638"/>
    <d v="2026-01-01T00:00:00"/>
    <x v="0"/>
    <s v="Noida"/>
    <x v="0"/>
    <s v="Small Business"/>
    <s v="Keyboard"/>
    <x v="1"/>
    <n v="2"/>
    <n v="1870"/>
    <n v="0.05"/>
    <s v="UPI"/>
    <s v="Karan Patel"/>
    <x v="0"/>
    <n v="3740"/>
    <n v="187"/>
    <n v="3553"/>
    <n v="2"/>
    <x v="6"/>
  </r>
  <r>
    <s v="ORD-10169"/>
    <d v="2026-01-01T00:00:00"/>
    <x v="0"/>
    <s v="Lucknow"/>
    <x v="1"/>
    <s v="Small Business"/>
    <s v="Smartphone"/>
    <x v="0"/>
    <n v="3"/>
    <n v="29660"/>
    <n v="0.03"/>
    <s v="Credit Card"/>
    <s v="Sneha Iyer"/>
    <x v="1"/>
    <n v="0"/>
    <n v="0"/>
    <n v="0"/>
    <m/>
    <x v="6"/>
  </r>
  <r>
    <s v="ORD-10009"/>
    <d v="2026-01-01T00:00:00"/>
    <x v="1"/>
    <s v="Surat"/>
    <x v="0"/>
    <s v="Individual"/>
    <s v="Backpack"/>
    <x v="1"/>
    <n v="5"/>
    <n v="2410"/>
    <n v="0.03"/>
    <s v="Net Banking"/>
    <s v="Sneha Iyer"/>
    <x v="0"/>
    <n v="12050"/>
    <n v="361.5"/>
    <n v="11688.5"/>
    <n v="4"/>
    <x v="6"/>
  </r>
  <r>
    <s v="ORD-10239"/>
    <d v="2026-01-02T00:00:00"/>
    <x v="1"/>
    <s v="Mumbai"/>
    <x v="0"/>
    <s v="Individual"/>
    <s v="Office Desk"/>
    <x v="4"/>
    <n v="1"/>
    <n v="13640"/>
    <n v="0.08"/>
    <s v="Credit Card"/>
    <s v="Karan Patel"/>
    <x v="0"/>
    <n v="13640"/>
    <n v="1091.2"/>
    <n v="12548.8"/>
    <n v="3"/>
    <x v="6"/>
  </r>
  <r>
    <s v="ORD-10523"/>
    <d v="2026-01-02T00:00:00"/>
    <x v="3"/>
    <s v="Kolkata"/>
    <x v="2"/>
    <s v="Individual"/>
    <s v="Printer"/>
    <x v="2"/>
    <n v="1"/>
    <n v="12670"/>
    <n v="0"/>
    <s v="Net Banking"/>
    <s v="Ananya Rao"/>
    <x v="0"/>
    <n v="12670"/>
    <n v="0"/>
    <n v="12670"/>
    <n v="5"/>
    <x v="6"/>
  </r>
  <r>
    <s v="ORD-10036"/>
    <d v="2026-01-02T00:00:00"/>
    <x v="1"/>
    <s v="Pune"/>
    <x v="1"/>
    <s v="Enterprise"/>
    <s v="Mouse"/>
    <x v="1"/>
    <n v="1"/>
    <n v="920"/>
    <n v="0.05"/>
    <s v="UPI"/>
    <s v="Rohan Sharma"/>
    <x v="0"/>
    <n v="920"/>
    <n v="46"/>
    <n v="874"/>
    <n v="3"/>
    <x v="6"/>
  </r>
  <r>
    <s v="ORD-10459"/>
    <d v="2026-01-05T00:00:00"/>
    <x v="3"/>
    <s v="Bhubaneswar"/>
    <x v="1"/>
    <s v="Individual"/>
    <s v="Tablet"/>
    <x v="0"/>
    <n v="1"/>
    <n v="22060"/>
    <n v="0.05"/>
    <s v="Cash on Delivery"/>
    <s v="Rohan Sharma"/>
    <x v="0"/>
    <n v="22060"/>
    <n v="1103"/>
    <n v="20957"/>
    <n v="1"/>
    <x v="6"/>
  </r>
  <r>
    <s v="ORD-10556"/>
    <d v="2026-01-06T00:00:00"/>
    <x v="0"/>
    <s v="Noida"/>
    <x v="0"/>
    <s v="Individual"/>
    <s v="Office Chair"/>
    <x v="4"/>
    <n v="5"/>
    <n v="12220"/>
    <n v="0.15"/>
    <s v="Debit Card"/>
    <s v="Ananya Rao"/>
    <x v="0"/>
    <n v="61100"/>
    <n v="9165"/>
    <n v="51935"/>
    <n v="6"/>
    <x v="6"/>
  </r>
  <r>
    <s v="ORD-10519"/>
    <d v="2026-01-06T00:00:00"/>
    <x v="3"/>
    <s v="Bhubaneswar"/>
    <x v="1"/>
    <s v="Individual"/>
    <s v="Printer"/>
    <x v="2"/>
    <n v="1"/>
    <n v="13190"/>
    <n v="0.08"/>
    <s v="Credit Card"/>
    <s v="Rohan Sharma"/>
    <x v="0"/>
    <n v="13190"/>
    <n v="1055.2"/>
    <n v="12134.8"/>
    <n v="2"/>
    <x v="6"/>
  </r>
  <r>
    <s v="ORD-10173"/>
    <d v="2026-01-06T00:00:00"/>
    <x v="3"/>
    <s v="Bhubaneswar"/>
    <x v="1"/>
    <s v="Individual"/>
    <s v="Webcam"/>
    <x v="1"/>
    <n v="3"/>
    <n v="3430"/>
    <n v="0"/>
    <s v="Credit Card"/>
    <s v="Neha Kapoor"/>
    <x v="0"/>
    <n v="10290"/>
    <n v="0"/>
    <n v="10290"/>
    <n v="4"/>
    <x v="6"/>
  </r>
  <r>
    <s v="ORD-10421"/>
    <d v="2026-01-07T00:00:00"/>
    <x v="2"/>
    <s v="Bengaluru"/>
    <x v="0"/>
    <s v="Small Business"/>
    <s v="Monitor"/>
    <x v="0"/>
    <n v="3"/>
    <n v="16100"/>
    <n v="0.08"/>
    <s v="UPI"/>
    <s v="Aarav Mehta"/>
    <x v="0"/>
    <n v="48300"/>
    <n v="3864"/>
    <n v="44436"/>
    <n v="4"/>
    <x v="6"/>
  </r>
  <r>
    <s v="ORD-10306"/>
    <d v="2026-01-08T00:00:00"/>
    <x v="0"/>
    <s v="Noida"/>
    <x v="1"/>
    <s v="Individual"/>
    <s v="Laptop"/>
    <x v="0"/>
    <n v="4"/>
    <n v="64750"/>
    <n v="0.05"/>
    <s v="UPI"/>
    <s v="Ananya Rao"/>
    <x v="0"/>
    <n v="259000"/>
    <n v="12950"/>
    <n v="246050"/>
    <n v="2"/>
    <x v="6"/>
  </r>
  <r>
    <s v="ORD-10541"/>
    <d v="2026-01-08T00:00:00"/>
    <x v="0"/>
    <s v="Noida"/>
    <x v="0"/>
    <s v="Individual"/>
    <s v="Smartphone"/>
    <x v="0"/>
    <n v="1"/>
    <n v="27550"/>
    <n v="0.05"/>
    <s v="Credit Card"/>
    <s v="Rohan Sharma"/>
    <x v="0"/>
    <n v="27550"/>
    <n v="1377.5"/>
    <n v="26172.5"/>
    <n v="6"/>
    <x v="6"/>
  </r>
  <r>
    <s v="ORD-10302"/>
    <d v="2026-01-09T00:00:00"/>
    <x v="0"/>
    <s v="Jaipur"/>
    <x v="0"/>
    <s v="Small Business"/>
    <s v="Smartphone"/>
    <x v="0"/>
    <n v="3"/>
    <n v="27860"/>
    <n v="0.08"/>
    <s v="Debit Card"/>
    <s v="Sneha Iyer"/>
    <x v="0"/>
    <n v="83580"/>
    <n v="6686.4"/>
    <n v="76893.600000000006"/>
    <n v="3"/>
    <x v="6"/>
  </r>
  <r>
    <s v="ORD-10344"/>
    <d v="2026-01-10T00:00:00"/>
    <x v="3"/>
    <s v="Bhubaneswar"/>
    <x v="2"/>
    <s v="Small Business"/>
    <s v="Mouse"/>
    <x v="1"/>
    <n v="2"/>
    <n v="890"/>
    <n v="0.1"/>
    <s v="UPI"/>
    <s v="Rohan Sharma"/>
    <x v="0"/>
    <n v="1780"/>
    <n v="178"/>
    <n v="1602"/>
    <n v="3"/>
    <x v="6"/>
  </r>
  <r>
    <s v="ORD-10455"/>
    <d v="2026-01-10T00:00:00"/>
    <x v="1"/>
    <s v="Ahmedabad"/>
    <x v="1"/>
    <s v="Individual"/>
    <s v="Keyboard"/>
    <x v="1"/>
    <n v="1"/>
    <n v="1900"/>
    <n v="0.03"/>
    <s v="Cash on Delivery"/>
    <s v="Vikram Singh"/>
    <x v="0"/>
    <n v="1900"/>
    <n v="57"/>
    <n v="1843"/>
    <n v="2"/>
    <x v="6"/>
  </r>
  <r>
    <s v="ORD-10174"/>
    <d v="2026-01-10T00:00:00"/>
    <x v="2"/>
    <s v="Chennai"/>
    <x v="1"/>
    <s v="Small Business"/>
    <s v="Office Desk"/>
    <x v="4"/>
    <n v="1"/>
    <n v="14440"/>
    <n v="0.03"/>
    <s v="Credit Card"/>
    <s v="Aarav Mehta"/>
    <x v="0"/>
    <n v="14440"/>
    <n v="433.2"/>
    <n v="14006.8"/>
    <n v="5"/>
    <x v="6"/>
  </r>
  <r>
    <s v="ORD-10630"/>
    <d v="2026-01-10T00:00:00"/>
    <x v="0"/>
    <s v="Delhi"/>
    <x v="0"/>
    <s v="Individual"/>
    <s v="Backpack"/>
    <x v="1"/>
    <n v="1"/>
    <n v="2550"/>
    <n v="0.05"/>
    <s v="Cash on Delivery"/>
    <s v="Sneha Iyer"/>
    <x v="0"/>
    <n v="2550"/>
    <n v="127.5"/>
    <n v="2422.5"/>
    <n v="4"/>
    <x v="6"/>
  </r>
  <r>
    <s v="ORD-10096"/>
    <d v="2026-01-11T00:00:00"/>
    <x v="3"/>
    <s v="Kolkata"/>
    <x v="0"/>
    <s v="Individual"/>
    <s v="Power Bank"/>
    <x v="1"/>
    <n v="4"/>
    <n v="1680"/>
    <n v="0"/>
    <s v="UPI"/>
    <s v="Priya Nair"/>
    <x v="0"/>
    <n v="6720"/>
    <n v="0"/>
    <n v="6720"/>
    <n v="3"/>
    <x v="6"/>
  </r>
  <r>
    <s v="ORD-10056"/>
    <d v="2026-01-11T00:00:00"/>
    <x v="1"/>
    <s v="Surat"/>
    <x v="0"/>
    <s v="Individual"/>
    <s v="Backpack"/>
    <x v="1"/>
    <n v="5"/>
    <n v="2490"/>
    <n v="0"/>
    <s v="Credit Card"/>
    <s v="Vikram Singh"/>
    <x v="0"/>
    <n v="12450"/>
    <n v="0"/>
    <n v="12450"/>
    <n v="1"/>
    <x v="6"/>
  </r>
  <r>
    <s v="ORD-10357"/>
    <d v="2026-01-11T00:00:00"/>
    <x v="1"/>
    <s v="Surat"/>
    <x v="2"/>
    <s v="Individual"/>
    <s v="Wireless Headphones"/>
    <x v="0"/>
    <n v="1"/>
    <n v="3190"/>
    <n v="0.03"/>
    <s v="Debit Card"/>
    <s v="Priya Nair"/>
    <x v="0"/>
    <n v="3190"/>
    <n v="95.7"/>
    <n v="3094.3"/>
    <n v="4"/>
    <x v="6"/>
  </r>
  <r>
    <s v="ORD-10046"/>
    <d v="2026-01-12T00:00:00"/>
    <x v="2"/>
    <s v="Bengaluru"/>
    <x v="0"/>
    <s v="Small Business"/>
    <s v="Tablet"/>
    <x v="0"/>
    <n v="4"/>
    <n v="21690"/>
    <n v="0.05"/>
    <s v="UPI"/>
    <s v="Vikram Singh"/>
    <x v="0"/>
    <n v="86760"/>
    <n v="4338"/>
    <n v="82422"/>
    <n v="3"/>
    <x v="6"/>
  </r>
  <r>
    <s v="ORD-10196"/>
    <d v="2026-01-12T00:00:00"/>
    <x v="1"/>
    <s v="Ahmedabad"/>
    <x v="1"/>
    <s v="Small Business"/>
    <s v="Office Chair"/>
    <x v="4"/>
    <n v="1"/>
    <n v="12280"/>
    <n v="0.1"/>
    <s v="Credit Card"/>
    <s v="Priya Nair"/>
    <x v="1"/>
    <n v="0"/>
    <n v="0"/>
    <n v="0"/>
    <m/>
    <x v="6"/>
  </r>
  <r>
    <s v="ORD-10543"/>
    <d v="2026-01-13T00:00:00"/>
    <x v="3"/>
    <s v="Guwahati"/>
    <x v="0"/>
    <s v="Individual"/>
    <s v="External SSD"/>
    <x v="3"/>
    <n v="2"/>
    <n v="6870"/>
    <n v="0"/>
    <s v="Net Banking"/>
    <s v="Vikram Singh"/>
    <x v="0"/>
    <n v="13740"/>
    <n v="0"/>
    <n v="13740"/>
    <n v="1"/>
    <x v="6"/>
  </r>
  <r>
    <s v="ORD-10540"/>
    <d v="2026-01-13T00:00:00"/>
    <x v="1"/>
    <s v="Pune"/>
    <x v="0"/>
    <s v="Small Business"/>
    <s v="Monitor"/>
    <x v="0"/>
    <n v="2"/>
    <n v="16950"/>
    <n v="0.03"/>
    <s v="UPI"/>
    <s v="Rohan Sharma"/>
    <x v="0"/>
    <n v="33900"/>
    <n v="1017"/>
    <n v="32883"/>
    <n v="2"/>
    <x v="6"/>
  </r>
  <r>
    <s v="ORD-10576"/>
    <d v="2026-01-13T00:00:00"/>
    <x v="2"/>
    <s v="Bengaluru"/>
    <x v="2"/>
    <s v="Small Business"/>
    <s v="Office Chair"/>
    <x v="4"/>
    <n v="1"/>
    <n v="11110"/>
    <n v="0"/>
    <s v="Cash on Delivery"/>
    <s v="Priya Nair"/>
    <x v="0"/>
    <n v="11110"/>
    <n v="0"/>
    <n v="11110"/>
    <n v="5"/>
    <x v="6"/>
  </r>
  <r>
    <s v="ORD-10216"/>
    <d v="2026-01-14T00:00:00"/>
    <x v="1"/>
    <s v="Surat"/>
    <x v="1"/>
    <s v="Small Business"/>
    <s v="Printer"/>
    <x v="2"/>
    <n v="2"/>
    <n v="12510"/>
    <n v="0.15"/>
    <s v="Credit Card"/>
    <s v="Priya Nair"/>
    <x v="0"/>
    <n v="25020"/>
    <n v="3753"/>
    <n v="21267"/>
    <n v="3"/>
    <x v="6"/>
  </r>
  <r>
    <s v="ORD-10118"/>
    <d v="2026-01-14T00:00:00"/>
    <x v="2"/>
    <s v="Kochi"/>
    <x v="1"/>
    <s v="Enterprise"/>
    <s v="Smartphone"/>
    <x v="0"/>
    <n v="1"/>
    <n v="28980"/>
    <n v="0.05"/>
    <s v="Net Banking"/>
    <s v="Rohan Sharma"/>
    <x v="0"/>
    <n v="28980"/>
    <n v="1449"/>
    <n v="27531"/>
    <n v="4"/>
    <x v="6"/>
  </r>
  <r>
    <s v="ORD-10180"/>
    <d v="2026-01-15T00:00:00"/>
    <x v="2"/>
    <s v="Kochi"/>
    <x v="1"/>
    <s v="Individual"/>
    <s v="Office Chair"/>
    <x v="4"/>
    <n v="1"/>
    <n v="11860"/>
    <n v="0.08"/>
    <s v="Cash on Delivery"/>
    <s v="Vikram Singh"/>
    <x v="0"/>
    <n v="11860"/>
    <n v="948.8"/>
    <n v="10911.2"/>
    <n v="3"/>
    <x v="6"/>
  </r>
  <r>
    <s v="ORD-10244"/>
    <d v="2026-01-15T00:00:00"/>
    <x v="1"/>
    <s v="Ahmedabad"/>
    <x v="1"/>
    <s v="Individual"/>
    <s v="Wireless Headphones"/>
    <x v="0"/>
    <n v="1"/>
    <n v="3240"/>
    <n v="0.08"/>
    <s v="Debit Card"/>
    <s v="Priya Nair"/>
    <x v="0"/>
    <n v="3240"/>
    <n v="259.2"/>
    <n v="2980.8"/>
    <n v="3"/>
    <x v="6"/>
  </r>
  <r>
    <s v="ORD-10637"/>
    <d v="2026-01-15T00:00:00"/>
    <x v="2"/>
    <s v="Bengaluru"/>
    <x v="1"/>
    <s v="Small Business"/>
    <s v="Webcam"/>
    <x v="1"/>
    <n v="3"/>
    <n v="3830"/>
    <n v="0.08"/>
    <s v="Debit Card"/>
    <s v="Ananya Rao"/>
    <x v="0"/>
    <n v="11490"/>
    <n v="919.2"/>
    <n v="10570.8"/>
    <n v="6"/>
    <x v="6"/>
  </r>
  <r>
    <s v="ORD-10308"/>
    <d v="2026-01-16T00:00:00"/>
    <x v="0"/>
    <s v="Delhi"/>
    <x v="1"/>
    <s v="Individual"/>
    <s v="Tablet"/>
    <x v="0"/>
    <n v="1"/>
    <n v="20570"/>
    <n v="0.03"/>
    <s v="UPI"/>
    <s v="Sneha Iyer"/>
    <x v="0"/>
    <n v="20570"/>
    <n v="617.1"/>
    <n v="19952.900000000001"/>
    <n v="5"/>
    <x v="6"/>
  </r>
  <r>
    <s v="ORD-10140"/>
    <d v="2026-01-18T00:00:00"/>
    <x v="2"/>
    <s v="Bengaluru"/>
    <x v="0"/>
    <s v="Individual"/>
    <s v="Backpack"/>
    <x v="1"/>
    <n v="2"/>
    <n v="2360"/>
    <n v="0.08"/>
    <s v="Net Banking"/>
    <s v="Rohan Sharma"/>
    <x v="0"/>
    <n v="4720"/>
    <n v="377.6"/>
    <n v="4342.3999999999996"/>
    <n v="4"/>
    <x v="6"/>
  </r>
  <r>
    <s v="ORD-10170"/>
    <d v="2026-01-19T00:00:00"/>
    <x v="1"/>
    <s v="Pune"/>
    <x v="0"/>
    <s v="Enterprise"/>
    <s v="External SSD"/>
    <x v="3"/>
    <n v="4"/>
    <n v="6870"/>
    <n v="0.05"/>
    <s v="Credit Card"/>
    <s v="Aarav Mehta"/>
    <x v="0"/>
    <n v="27480"/>
    <n v="1374"/>
    <n v="26106"/>
    <n v="3"/>
    <x v="6"/>
  </r>
  <r>
    <s v="ORD-10337"/>
    <d v="2026-01-20T00:00:00"/>
    <x v="2"/>
    <s v="Chennai"/>
    <x v="0"/>
    <s v="Individual"/>
    <s v="Laptop"/>
    <x v="0"/>
    <n v="3"/>
    <n v="61220"/>
    <n v="0.05"/>
    <s v="Net Banking"/>
    <s v="Priya Nair"/>
    <x v="0"/>
    <n v="183660"/>
    <n v="9183"/>
    <n v="174477"/>
    <n v="4"/>
    <x v="6"/>
  </r>
  <r>
    <s v="ORD-10475"/>
    <d v="2026-01-20T00:00:00"/>
    <x v="1"/>
    <s v="Mumbai"/>
    <x v="0"/>
    <s v="Enterprise"/>
    <s v="Printer"/>
    <x v="2"/>
    <n v="2"/>
    <n v="13130"/>
    <n v="0.03"/>
    <s v="Cash on Delivery"/>
    <s v="Vikram Singh"/>
    <x v="0"/>
    <n v="26260"/>
    <n v="787.8"/>
    <n v="25472.2"/>
    <n v="2"/>
    <x v="6"/>
  </r>
  <r>
    <s v="ORD-10138"/>
    <d v="2026-01-22T00:00:00"/>
    <x v="2"/>
    <s v="Hyderabad"/>
    <x v="2"/>
    <s v="Individual"/>
    <s v="Printer"/>
    <x v="2"/>
    <n v="1"/>
    <n v="12830"/>
    <n v="0.08"/>
    <s v="Cash on Delivery"/>
    <s v="Ananya Rao"/>
    <x v="0"/>
    <n v="12830"/>
    <n v="1026.4000000000001"/>
    <n v="11803.6"/>
    <n v="3"/>
    <x v="6"/>
  </r>
  <r>
    <s v="ORD-10588"/>
    <d v="2026-01-22T00:00:00"/>
    <x v="0"/>
    <s v="Noida"/>
    <x v="2"/>
    <s v="Individual"/>
    <s v="Monitor"/>
    <x v="0"/>
    <n v="3"/>
    <n v="15660"/>
    <n v="0.15"/>
    <s v="Credit Card"/>
    <s v="Ananya Rao"/>
    <x v="0"/>
    <n v="46980"/>
    <n v="7047"/>
    <n v="39933"/>
    <n v="4"/>
    <x v="6"/>
  </r>
  <r>
    <s v="ORD-10409"/>
    <d v="2026-01-22T00:00:00"/>
    <x v="2"/>
    <s v="Bengaluru"/>
    <x v="1"/>
    <s v="Individual"/>
    <s v="Smartphone"/>
    <x v="0"/>
    <n v="1"/>
    <n v="26650"/>
    <n v="0.08"/>
    <s v="Cash on Delivery"/>
    <s v="Karan Patel"/>
    <x v="0"/>
    <n v="26650"/>
    <n v="2132"/>
    <n v="24518"/>
    <n v="3"/>
    <x v="6"/>
  </r>
  <r>
    <s v="ORD-10532"/>
    <d v="2026-01-22T00:00:00"/>
    <x v="2"/>
    <s v="Kochi"/>
    <x v="0"/>
    <s v="Enterprise"/>
    <s v="Smartphone"/>
    <x v="0"/>
    <n v="2"/>
    <n v="28290"/>
    <n v="0"/>
    <s v="Credit Card"/>
    <s v="Rohan Sharma"/>
    <x v="0"/>
    <n v="56580"/>
    <n v="0"/>
    <n v="56580"/>
    <n v="6"/>
    <x v="6"/>
  </r>
  <r>
    <s v="ORD-10582"/>
    <d v="2026-01-23T00:00:00"/>
    <x v="1"/>
    <s v="Pune"/>
    <x v="2"/>
    <s v="Enterprise"/>
    <s v="Mouse"/>
    <x v="1"/>
    <n v="1"/>
    <n v="990"/>
    <n v="0"/>
    <s v="Credit Card"/>
    <s v="Ananya Rao"/>
    <x v="0"/>
    <n v="990"/>
    <n v="0"/>
    <n v="990"/>
    <n v="5"/>
    <x v="6"/>
  </r>
  <r>
    <s v="ORD-10571"/>
    <d v="2026-01-24T00:00:00"/>
    <x v="1"/>
    <s v="Surat"/>
    <x v="1"/>
    <s v="Individual"/>
    <s v="Laptop"/>
    <x v="0"/>
    <n v="2"/>
    <n v="59480"/>
    <n v="0"/>
    <s v="UPI"/>
    <s v="Priya Nair"/>
    <x v="0"/>
    <n v="118960"/>
    <n v="0"/>
    <n v="118960"/>
    <n v="3"/>
    <x v="6"/>
  </r>
  <r>
    <s v="ORD-10117"/>
    <d v="2026-01-24T00:00:00"/>
    <x v="2"/>
    <s v="Kochi"/>
    <x v="1"/>
    <s v="Individual"/>
    <s v="Backpack"/>
    <x v="1"/>
    <n v="2"/>
    <n v="2410"/>
    <n v="0.08"/>
    <s v="Debit Card"/>
    <s v="Sneha Iyer"/>
    <x v="0"/>
    <n v="4820"/>
    <n v="385.6"/>
    <n v="4434.3999999999996"/>
    <n v="4"/>
    <x v="6"/>
  </r>
  <r>
    <s v="ORD-10528"/>
    <d v="2026-01-25T00:00:00"/>
    <x v="1"/>
    <s v="Mumbai"/>
    <x v="2"/>
    <s v="Enterprise"/>
    <s v="Wireless Headphones"/>
    <x v="0"/>
    <n v="1"/>
    <n v="3410"/>
    <n v="0.08"/>
    <s v="UPI"/>
    <s v="Vikram Singh"/>
    <x v="0"/>
    <n v="3410"/>
    <n v="272.8"/>
    <n v="3137.2"/>
    <n v="3"/>
    <x v="6"/>
  </r>
  <r>
    <s v="ORD-10166"/>
    <d v="2026-01-25T00:00:00"/>
    <x v="2"/>
    <s v="Hyderabad"/>
    <x v="1"/>
    <s v="Small Business"/>
    <s v="Printer"/>
    <x v="2"/>
    <n v="2"/>
    <n v="12450"/>
    <n v="0.05"/>
    <s v="Cash on Delivery"/>
    <s v="Sneha Iyer"/>
    <x v="0"/>
    <n v="24900"/>
    <n v="1245"/>
    <n v="23655"/>
    <n v="3"/>
    <x v="6"/>
  </r>
  <r>
    <s v="ORD-10129"/>
    <d v="2026-01-27T00:00:00"/>
    <x v="1"/>
    <s v="Mumbai"/>
    <x v="1"/>
    <s v="Individual"/>
    <s v="Monitor"/>
    <x v="0"/>
    <n v="5"/>
    <n v="17550"/>
    <n v="0.05"/>
    <s v="Cash on Delivery"/>
    <s v="Neha Kapoor"/>
    <x v="0"/>
    <n v="87750"/>
    <n v="4387.5"/>
    <n v="83362.5"/>
    <n v="3"/>
    <x v="6"/>
  </r>
  <r>
    <s v="ORD-10539"/>
    <d v="2026-01-27T00:00:00"/>
    <x v="0"/>
    <s v="Delhi"/>
    <x v="0"/>
    <s v="Enterprise"/>
    <s v="Webcam"/>
    <x v="1"/>
    <n v="1"/>
    <n v="3840"/>
    <n v="0.15"/>
    <s v="Debit Card"/>
    <s v="Vikram Singh"/>
    <x v="0"/>
    <n v="3840"/>
    <n v="576"/>
    <n v="3264"/>
    <n v="5"/>
    <x v="6"/>
  </r>
  <r>
    <s v="ORD-10176"/>
    <d v="2026-01-28T00:00:00"/>
    <x v="3"/>
    <s v="Guwahati"/>
    <x v="1"/>
    <s v="Individual"/>
    <s v="Mouse"/>
    <x v="1"/>
    <n v="2"/>
    <n v="1000"/>
    <n v="0.05"/>
    <s v="Credit Card"/>
    <s v="Karan Patel"/>
    <x v="0"/>
    <n v="2000"/>
    <n v="100"/>
    <n v="1900"/>
    <n v="4"/>
    <x v="6"/>
  </r>
  <r>
    <s v="ORD-10049"/>
    <d v="2026-01-28T00:00:00"/>
    <x v="0"/>
    <s v="Lucknow"/>
    <x v="0"/>
    <s v="Individual"/>
    <s v="Backpack"/>
    <x v="1"/>
    <n v="5"/>
    <n v="2340"/>
    <n v="0.05"/>
    <s v="Debit Card"/>
    <s v="Sneha Iyer"/>
    <x v="0"/>
    <n v="11700"/>
    <n v="585"/>
    <n v="11115"/>
    <n v="3"/>
    <x v="6"/>
  </r>
  <r>
    <s v="ORD-10370"/>
    <d v="2026-01-28T00:00:00"/>
    <x v="3"/>
    <s v="Guwahati"/>
    <x v="1"/>
    <s v="Individual"/>
    <s v="Wireless Headphones"/>
    <x v="0"/>
    <n v="2"/>
    <n v="3330"/>
    <n v="0.1"/>
    <s v="Cash on Delivery"/>
    <s v="Neha Kapoor"/>
    <x v="0"/>
    <n v="6660"/>
    <n v="666"/>
    <n v="5994"/>
    <n v="3"/>
    <x v="6"/>
  </r>
  <r>
    <s v="ORD-10414"/>
    <d v="2026-01-29T00:00:00"/>
    <x v="0"/>
    <s v="Lucknow"/>
    <x v="1"/>
    <s v="Individual"/>
    <s v="Backpack"/>
    <x v="1"/>
    <n v="3"/>
    <n v="2490"/>
    <n v="0.05"/>
    <s v="Credit Card"/>
    <s v="Aarav Mehta"/>
    <x v="0"/>
    <n v="7470"/>
    <n v="373.5"/>
    <n v="7096.5"/>
    <n v="3"/>
    <x v="6"/>
  </r>
  <r>
    <s v="ORD-10219"/>
    <d v="2026-01-29T00:00:00"/>
    <x v="2"/>
    <s v="Chennai"/>
    <x v="0"/>
    <s v="Small Business"/>
    <s v="Monitor"/>
    <x v="0"/>
    <n v="4"/>
    <n v="15660"/>
    <n v="0"/>
    <s v="Cash on Delivery"/>
    <s v="Priya Nair"/>
    <x v="0"/>
    <n v="62640"/>
    <n v="0"/>
    <n v="62640"/>
    <n v="4"/>
    <x v="6"/>
  </r>
  <r>
    <s v="ORD-10226"/>
    <d v="2026-01-29T00:00:00"/>
    <x v="2"/>
    <s v="Chennai"/>
    <x v="0"/>
    <s v="Small Business"/>
    <s v="External SSD"/>
    <x v="3"/>
    <n v="1"/>
    <n v="7640"/>
    <n v="0.05"/>
    <s v="Credit Card"/>
    <s v="Priya Nair"/>
    <x v="0"/>
    <n v="7640"/>
    <n v="382"/>
    <n v="7258"/>
    <n v="1"/>
    <x v="6"/>
  </r>
  <r>
    <s v="ORD-10283"/>
    <d v="2026-01-29T00:00:00"/>
    <x v="1"/>
    <s v="Surat"/>
    <x v="0"/>
    <s v="Enterprise"/>
    <s v="Wireless Headphones"/>
    <x v="0"/>
    <n v="1"/>
    <n v="3230"/>
    <n v="0"/>
    <s v="Credit Card"/>
    <s v="Ananya Rao"/>
    <x v="0"/>
    <n v="3230"/>
    <n v="0"/>
    <n v="3230"/>
    <n v="2"/>
    <x v="6"/>
  </r>
  <r>
    <s v="ORD-10029"/>
    <d v="2026-01-30T00:00:00"/>
    <x v="1"/>
    <s v="Pune"/>
    <x v="0"/>
    <s v="Individual"/>
    <s v="Power Bank"/>
    <x v="1"/>
    <n v="2"/>
    <n v="1880"/>
    <n v="0.1"/>
    <s v="UPI"/>
    <s v="Vikram Singh"/>
    <x v="0"/>
    <n v="3760"/>
    <n v="376"/>
    <n v="3384"/>
    <n v="3"/>
    <x v="6"/>
  </r>
  <r>
    <s v="ORD-10358"/>
    <d v="2026-01-30T00:00:00"/>
    <x v="0"/>
    <s v="Jaipur"/>
    <x v="1"/>
    <s v="Individual"/>
    <s v="Mouse"/>
    <x v="1"/>
    <n v="3"/>
    <n v="1010"/>
    <n v="0.05"/>
    <s v="Credit Card"/>
    <s v="Neha Kapoor"/>
    <x v="0"/>
    <n v="3030"/>
    <n v="151.5"/>
    <n v="2878.5"/>
    <n v="5"/>
    <x v="6"/>
  </r>
  <r>
    <s v="ORD-10533"/>
    <d v="2026-01-30T00:00:00"/>
    <x v="2"/>
    <s v="Bengaluru"/>
    <x v="1"/>
    <s v="Individual"/>
    <s v="Laptop"/>
    <x v="0"/>
    <n v="3"/>
    <n v="59880"/>
    <n v="0.1"/>
    <s v="UPI"/>
    <s v="Ananya Rao"/>
    <x v="0"/>
    <n v="179640"/>
    <n v="17964"/>
    <n v="161676"/>
    <n v="3"/>
    <x v="6"/>
  </r>
  <r>
    <s v="ORD-10122"/>
    <d v="2026-01-31T00:00:00"/>
    <x v="1"/>
    <s v="Surat"/>
    <x v="1"/>
    <s v="Individual"/>
    <s v="Laptop"/>
    <x v="0"/>
    <n v="4"/>
    <n v="57860"/>
    <n v="0.05"/>
    <s v="Debit Card"/>
    <s v="Karan Patel"/>
    <x v="0"/>
    <n v="231440"/>
    <n v="11572"/>
    <n v="219868"/>
    <n v="3"/>
    <x v="6"/>
  </r>
  <r>
    <s v="ORD-10042"/>
    <d v="2026-01-31T00:00:00"/>
    <x v="2"/>
    <s v="Hyderabad"/>
    <x v="0"/>
    <s v="Enterprise"/>
    <s v="Laptop"/>
    <x v="0"/>
    <n v="1"/>
    <n v="61330"/>
    <n v="0"/>
    <s v="UPI"/>
    <s v="Karan Patel"/>
    <x v="0"/>
    <n v="61330"/>
    <n v="0"/>
    <n v="61330"/>
    <n v="1"/>
    <x v="6"/>
  </r>
  <r>
    <s v="ORD-10364"/>
    <d v="2026-02-01T00:00:00"/>
    <x v="1"/>
    <s v="Ahmedabad"/>
    <x v="1"/>
    <s v="Small Business"/>
    <s v="Webcam"/>
    <x v="1"/>
    <n v="1"/>
    <n v="3660"/>
    <n v="0.05"/>
    <s v="UPI"/>
    <s v="Aarav Mehta"/>
    <x v="0"/>
    <n v="3660"/>
    <n v="183"/>
    <n v="3477"/>
    <n v="6"/>
    <x v="7"/>
  </r>
  <r>
    <s v="ORD-10259"/>
    <d v="2026-02-01T00:00:00"/>
    <x v="2"/>
    <s v="Chennai"/>
    <x v="1"/>
    <s v="Individual"/>
    <s v="Smartphone"/>
    <x v="0"/>
    <n v="1"/>
    <n v="27590"/>
    <n v="0.08"/>
    <s v="UPI"/>
    <s v="Neha Kapoor"/>
    <x v="0"/>
    <n v="27590"/>
    <n v="2207.1999999999998"/>
    <n v="25382.799999999999"/>
    <n v="5"/>
    <x v="7"/>
  </r>
  <r>
    <s v="ORD-10434"/>
    <d v="2026-02-02T00:00:00"/>
    <x v="2"/>
    <s v="Chennai"/>
    <x v="0"/>
    <s v="Individual"/>
    <s v="Wireless Headphones"/>
    <x v="0"/>
    <n v="2"/>
    <n v="3110"/>
    <n v="0.08"/>
    <s v="Credit Card"/>
    <s v="Rohan Sharma"/>
    <x v="0"/>
    <n v="6220"/>
    <n v="497.6"/>
    <n v="5722.4"/>
    <n v="6"/>
    <x v="7"/>
  </r>
  <r>
    <s v="ORD-10311"/>
    <d v="2026-02-02T00:00:00"/>
    <x v="0"/>
    <s v="Delhi"/>
    <x v="0"/>
    <s v="Individual"/>
    <s v="Monitor"/>
    <x v="0"/>
    <n v="2"/>
    <n v="15360"/>
    <n v="0.15"/>
    <s v="Debit Card"/>
    <s v="Rohan Sharma"/>
    <x v="0"/>
    <n v="30720"/>
    <n v="4608"/>
    <n v="26112"/>
    <n v="2"/>
    <x v="7"/>
  </r>
  <r>
    <s v="ORD-10464"/>
    <d v="2026-02-02T00:00:00"/>
    <x v="2"/>
    <s v="Bengaluru"/>
    <x v="2"/>
    <s v="Individual"/>
    <s v="Wireless Headphones"/>
    <x v="0"/>
    <n v="4"/>
    <n v="3050"/>
    <n v="0.08"/>
    <s v="Credit Card"/>
    <s v="Neha Kapoor"/>
    <x v="0"/>
    <n v="12200"/>
    <n v="976"/>
    <n v="11224"/>
    <n v="5"/>
    <x v="7"/>
  </r>
  <r>
    <s v="ORD-10105"/>
    <d v="2026-02-04T00:00:00"/>
    <x v="2"/>
    <s v="Hyderabad"/>
    <x v="2"/>
    <s v="Small Business"/>
    <s v="Wireless Headphones"/>
    <x v="0"/>
    <n v="1"/>
    <n v="2990"/>
    <n v="0.1"/>
    <s v="UPI"/>
    <s v="Priya Nair"/>
    <x v="0"/>
    <n v="2990"/>
    <n v="299"/>
    <n v="2691"/>
    <n v="3"/>
    <x v="7"/>
  </r>
  <r>
    <s v="ORD-10185"/>
    <d v="2026-02-04T00:00:00"/>
    <x v="3"/>
    <s v="Bhubaneswar"/>
    <x v="0"/>
    <s v="Individual"/>
    <s v="Keyboard"/>
    <x v="1"/>
    <n v="2"/>
    <n v="1920"/>
    <n v="0.08"/>
    <s v="Credit Card"/>
    <s v="Karan Patel"/>
    <x v="0"/>
    <n v="3840"/>
    <n v="307.2"/>
    <n v="3532.8"/>
    <n v="2"/>
    <x v="7"/>
  </r>
  <r>
    <s v="ORD-10318"/>
    <d v="2026-02-06T00:00:00"/>
    <x v="2"/>
    <s v="Kochi"/>
    <x v="1"/>
    <s v="Individual"/>
    <s v="Mouse"/>
    <x v="1"/>
    <n v="2"/>
    <n v="1010"/>
    <n v="0.03"/>
    <s v="Net Banking"/>
    <s v="Aarav Mehta"/>
    <x v="0"/>
    <n v="2020"/>
    <n v="60.6"/>
    <n v="1959.4"/>
    <n v="3"/>
    <x v="7"/>
  </r>
  <r>
    <s v="ORD-10043"/>
    <d v="2026-02-07T00:00:00"/>
    <x v="2"/>
    <s v="Kochi"/>
    <x v="2"/>
    <s v="Small Business"/>
    <s v="Wireless Headphones"/>
    <x v="0"/>
    <n v="2"/>
    <n v="3150"/>
    <n v="0"/>
    <s v="Credit Card"/>
    <s v="Karan Patel"/>
    <x v="0"/>
    <n v="6300"/>
    <n v="0"/>
    <n v="6300"/>
    <n v="3"/>
    <x v="7"/>
  </r>
  <r>
    <s v="ORD-10575"/>
    <d v="2026-02-07T00:00:00"/>
    <x v="2"/>
    <s v="Hyderabad"/>
    <x v="1"/>
    <s v="Enterprise"/>
    <s v="Power Bank"/>
    <x v="1"/>
    <n v="1"/>
    <n v="1710"/>
    <n v="0.05"/>
    <s v="Credit Card"/>
    <s v="Unknown"/>
    <x v="0"/>
    <n v="1710"/>
    <n v="85.5"/>
    <n v="1624.5"/>
    <n v="3"/>
    <x v="7"/>
  </r>
  <r>
    <s v="ORD-10586"/>
    <d v="2026-02-07T00:00:00"/>
    <x v="1"/>
    <s v="Surat"/>
    <x v="1"/>
    <s v="Small Business"/>
    <s v="Laptop"/>
    <x v="0"/>
    <n v="1"/>
    <n v="62130"/>
    <n v="0.1"/>
    <s v="UPI"/>
    <s v="Priya Nair"/>
    <x v="0"/>
    <n v="62130"/>
    <n v="6213"/>
    <n v="55917"/>
    <n v="2"/>
    <x v="7"/>
  </r>
  <r>
    <s v="ORD-10453"/>
    <d v="2026-02-08T00:00:00"/>
    <x v="0"/>
    <s v="Delhi"/>
    <x v="2"/>
    <s v="Individual"/>
    <s v="Wireless Headphones"/>
    <x v="0"/>
    <n v="1"/>
    <n v="3370"/>
    <n v="0.05"/>
    <s v="Credit Card"/>
    <s v="Neha Kapoor"/>
    <x v="0"/>
    <n v="3370"/>
    <n v="168.5"/>
    <n v="3201.5"/>
    <n v="1"/>
    <x v="7"/>
  </r>
  <r>
    <s v="ORD-10229"/>
    <d v="2026-02-09T00:00:00"/>
    <x v="1"/>
    <s v="Pune"/>
    <x v="0"/>
    <s v="Enterprise"/>
    <s v="Tablet"/>
    <x v="0"/>
    <n v="3"/>
    <n v="22390"/>
    <n v="0.03"/>
    <s v="UPI"/>
    <s v="Rohan Sharma"/>
    <x v="0"/>
    <n v="67170"/>
    <n v="2015.1"/>
    <n v="65154.9"/>
    <n v="4"/>
    <x v="7"/>
  </r>
  <r>
    <s v="ORD-10324"/>
    <d v="2026-02-09T00:00:00"/>
    <x v="2"/>
    <s v="Bengaluru"/>
    <x v="1"/>
    <s v="Small Business"/>
    <s v="Monitor"/>
    <x v="0"/>
    <n v="2"/>
    <n v="16940"/>
    <n v="0.15"/>
    <s v="Debit Card"/>
    <s v="Sneha Iyer"/>
    <x v="0"/>
    <n v="33880"/>
    <n v="5082"/>
    <n v="28798"/>
    <n v="5"/>
    <x v="7"/>
  </r>
  <r>
    <s v="ORD-10601"/>
    <d v="2026-02-11T00:00:00"/>
    <x v="2"/>
    <s v="Chennai"/>
    <x v="1"/>
    <s v="Enterprise"/>
    <s v="Mouse"/>
    <x v="1"/>
    <n v="3"/>
    <n v="940"/>
    <n v="0"/>
    <s v="UPI"/>
    <s v="Neha Kapoor"/>
    <x v="1"/>
    <n v="0"/>
    <n v="0"/>
    <n v="0"/>
    <m/>
    <x v="7"/>
  </r>
  <r>
    <s v="ORD-10521"/>
    <d v="2026-02-11T00:00:00"/>
    <x v="3"/>
    <s v="Guwahati"/>
    <x v="1"/>
    <s v="Enterprise"/>
    <s v="Smartphone"/>
    <x v="0"/>
    <n v="3"/>
    <n v="26790"/>
    <n v="0.1"/>
    <s v="UPI"/>
    <s v="Neha Kapoor"/>
    <x v="1"/>
    <n v="0"/>
    <n v="0"/>
    <n v="0"/>
    <m/>
    <x v="7"/>
  </r>
  <r>
    <s v="ORD-10070"/>
    <d v="2026-02-12T00:00:00"/>
    <x v="2"/>
    <s v="Bengaluru"/>
    <x v="1"/>
    <s v="Enterprise"/>
    <s v="Wireless Headphones"/>
    <x v="0"/>
    <n v="5"/>
    <n v="3180"/>
    <n v="0"/>
    <s v="Credit Card"/>
    <s v="Neha Kapoor"/>
    <x v="0"/>
    <n v="15900"/>
    <n v="0"/>
    <n v="15900"/>
    <n v="2"/>
    <x v="7"/>
  </r>
  <r>
    <s v="ORD-10579"/>
    <d v="2026-02-14T00:00:00"/>
    <x v="2"/>
    <s v="Kochi"/>
    <x v="0"/>
    <s v="Individual"/>
    <s v="Backpack"/>
    <x v="1"/>
    <n v="3"/>
    <n v="2470"/>
    <n v="0.03"/>
    <s v="Cash on Delivery"/>
    <s v="Rohan Sharma"/>
    <x v="0"/>
    <n v="7410"/>
    <n v="222.3"/>
    <n v="7187.7"/>
    <n v="2"/>
    <x v="7"/>
  </r>
  <r>
    <s v="ORD-10547"/>
    <d v="2026-02-14T00:00:00"/>
    <x v="1"/>
    <s v="Ahmedabad"/>
    <x v="1"/>
    <s v="Individual"/>
    <s v="Backpack"/>
    <x v="1"/>
    <n v="4"/>
    <n v="2540"/>
    <n v="0.05"/>
    <s v="Cash on Delivery"/>
    <s v="Neha Kapoor"/>
    <x v="2"/>
    <n v="10160"/>
    <n v="508"/>
    <n v="9652"/>
    <n v="4"/>
    <x v="7"/>
  </r>
  <r>
    <s v="ORD-10500"/>
    <d v="2026-02-14T00:00:00"/>
    <x v="3"/>
    <s v="Kolkata"/>
    <x v="2"/>
    <s v="Individual"/>
    <s v="Tablet"/>
    <x v="0"/>
    <n v="1"/>
    <n v="21560"/>
    <n v="0"/>
    <s v="UPI"/>
    <s v="Priya Nair"/>
    <x v="0"/>
    <n v="21560"/>
    <n v="0"/>
    <n v="21560"/>
    <n v="7"/>
    <x v="7"/>
  </r>
  <r>
    <s v="ORD-10589"/>
    <d v="2026-02-14T00:00:00"/>
    <x v="1"/>
    <s v="Mumbai"/>
    <x v="0"/>
    <s v="Individual"/>
    <s v="Office Chair"/>
    <x v="4"/>
    <n v="3"/>
    <n v="12230"/>
    <n v="0.03"/>
    <s v="UPI"/>
    <s v="Rohan Sharma"/>
    <x v="1"/>
    <n v="0"/>
    <n v="0"/>
    <n v="0"/>
    <m/>
    <x v="7"/>
  </r>
  <r>
    <s v="ORD-10616"/>
    <d v="2026-02-14T00:00:00"/>
    <x v="0"/>
    <s v="Lucknow"/>
    <x v="0"/>
    <s v="Small Business"/>
    <s v="Wireless Headphones"/>
    <x v="0"/>
    <n v="4"/>
    <n v="3050"/>
    <n v="0.03"/>
    <s v="UPI"/>
    <s v="Rohan Sharma"/>
    <x v="0"/>
    <n v="12200"/>
    <n v="366"/>
    <n v="11834"/>
    <n v="3"/>
    <x v="7"/>
  </r>
  <r>
    <s v="ORD-10286"/>
    <d v="2026-02-15T00:00:00"/>
    <x v="2"/>
    <s v="Chennai"/>
    <x v="1"/>
    <s v="Individual"/>
    <s v="Laptop"/>
    <x v="0"/>
    <n v="5"/>
    <n v="61530"/>
    <n v="0.15"/>
    <s v="Credit Card"/>
    <s v="Priya Nair"/>
    <x v="0"/>
    <n v="307650"/>
    <n v="46147.5"/>
    <n v="261502.5"/>
    <n v="3"/>
    <x v="7"/>
  </r>
  <r>
    <s v="ORD-10633"/>
    <d v="2026-02-15T00:00:00"/>
    <x v="2"/>
    <s v="Chennai"/>
    <x v="1"/>
    <s v="Small Business"/>
    <s v="Power Bank"/>
    <x v="1"/>
    <n v="1"/>
    <n v="1720"/>
    <n v="0.08"/>
    <s v="UPI"/>
    <s v="Vikram Singh"/>
    <x v="0"/>
    <n v="1720"/>
    <n v="137.6"/>
    <n v="1582.4"/>
    <n v="3"/>
    <x v="7"/>
  </r>
  <r>
    <s v="ORD-10339"/>
    <d v="2026-02-15T00:00:00"/>
    <x v="2"/>
    <s v="Chennai"/>
    <x v="1"/>
    <s v="Small Business"/>
    <s v="Office Chair"/>
    <x v="4"/>
    <n v="2"/>
    <n v="11950"/>
    <n v="0.03"/>
    <s v="Debit Card"/>
    <s v="Rohan Sharma"/>
    <x v="0"/>
    <n v="23900"/>
    <n v="717"/>
    <n v="23183"/>
    <n v="2"/>
    <x v="7"/>
  </r>
  <r>
    <s v="ORD-10359"/>
    <d v="2026-02-16T00:00:00"/>
    <x v="1"/>
    <s v="Surat"/>
    <x v="0"/>
    <s v="Individual"/>
    <s v="Power Bank"/>
    <x v="1"/>
    <n v="1"/>
    <n v="1800"/>
    <n v="0"/>
    <s v="UPI"/>
    <s v="Priya Nair"/>
    <x v="0"/>
    <n v="1800"/>
    <n v="0"/>
    <n v="1800"/>
    <n v="7"/>
    <x v="7"/>
  </r>
  <r>
    <s v="ORD-10016"/>
    <d v="2026-02-17T00:00:00"/>
    <x v="1"/>
    <s v="Surat"/>
    <x v="1"/>
    <s v="Individual"/>
    <s v="Wireless Headphones"/>
    <x v="0"/>
    <n v="3"/>
    <n v="3110"/>
    <n v="0"/>
    <s v="Credit Card"/>
    <s v="Aarav Mehta"/>
    <x v="2"/>
    <n v="9330"/>
    <n v="0"/>
    <n v="9330"/>
    <n v="3"/>
    <x v="7"/>
  </r>
  <r>
    <s v="ORD-10522"/>
    <d v="2026-02-19T00:00:00"/>
    <x v="1"/>
    <s v="Pune"/>
    <x v="0"/>
    <s v="Enterprise"/>
    <s v="Office Chair"/>
    <x v="4"/>
    <n v="3"/>
    <n v="10850"/>
    <n v="0"/>
    <s v="UPI"/>
    <s v="Priya Nair"/>
    <x v="0"/>
    <n v="32550"/>
    <n v="0"/>
    <n v="32550"/>
    <n v="7"/>
    <x v="7"/>
  </r>
  <r>
    <s v="ORD-10090"/>
    <d v="2026-02-19T00:00:00"/>
    <x v="2"/>
    <s v="Hyderabad"/>
    <x v="1"/>
    <s v="Individual"/>
    <s v="Laptop"/>
    <x v="0"/>
    <n v="1"/>
    <n v="60130"/>
    <n v="0.08"/>
    <s v="Credit Card"/>
    <s v="Neha Kapoor"/>
    <x v="0"/>
    <n v="60130"/>
    <n v="4810.3999999999996"/>
    <n v="55319.6"/>
    <n v="4"/>
    <x v="7"/>
  </r>
  <r>
    <s v="ORD-10446"/>
    <d v="2026-02-19T00:00:00"/>
    <x v="2"/>
    <s v="Chennai"/>
    <x v="1"/>
    <s v="Small Business"/>
    <s v="External SSD"/>
    <x v="3"/>
    <n v="2"/>
    <n v="7380"/>
    <n v="0"/>
    <s v="UPI"/>
    <s v="Sneha Iyer"/>
    <x v="0"/>
    <n v="14760"/>
    <n v="0"/>
    <n v="14760"/>
    <n v="3"/>
    <x v="7"/>
  </r>
  <r>
    <s v="ORD-10165"/>
    <d v="2026-02-21T00:00:00"/>
    <x v="0"/>
    <s v="Lucknow"/>
    <x v="1"/>
    <s v="Small Business"/>
    <s v="Printer"/>
    <x v="2"/>
    <n v="2"/>
    <n v="13120"/>
    <n v="0.08"/>
    <s v="Debit Card"/>
    <s v="Vikram Singh"/>
    <x v="0"/>
    <n v="26240"/>
    <n v="2099.1999999999998"/>
    <n v="24140.799999999999"/>
    <n v="4"/>
    <x v="7"/>
  </r>
  <r>
    <s v="ORD-10404"/>
    <d v="2026-02-21T00:00:00"/>
    <x v="3"/>
    <s v="Bhubaneswar"/>
    <x v="1"/>
    <s v="Individual"/>
    <s v="Webcam"/>
    <x v="1"/>
    <n v="1"/>
    <n v="3830"/>
    <n v="0.1"/>
    <s v="Credit Card"/>
    <s v="Rohan Sharma"/>
    <x v="0"/>
    <n v="3830"/>
    <n v="383"/>
    <n v="3447"/>
    <n v="2"/>
    <x v="7"/>
  </r>
  <r>
    <s v="ORD-10245"/>
    <d v="2026-02-21T00:00:00"/>
    <x v="1"/>
    <s v="Pune"/>
    <x v="0"/>
    <s v="Small Business"/>
    <s v="Mouse"/>
    <x v="1"/>
    <n v="3"/>
    <n v="970"/>
    <n v="0.03"/>
    <s v="Net Banking"/>
    <s v="Karan Patel"/>
    <x v="0"/>
    <n v="2910"/>
    <n v="87.3"/>
    <n v="2822.7"/>
    <n v="6"/>
    <x v="7"/>
  </r>
  <r>
    <s v="ORD-10531"/>
    <d v="2026-02-23T00:00:00"/>
    <x v="1"/>
    <s v="Pune"/>
    <x v="1"/>
    <s v="Individual"/>
    <s v="Wireless Headphones"/>
    <x v="0"/>
    <n v="4"/>
    <n v="2990"/>
    <n v="0"/>
    <s v="UPI"/>
    <s v="Vikram Singh"/>
    <x v="0"/>
    <n v="11960"/>
    <n v="0"/>
    <n v="11960"/>
    <n v="2"/>
    <x v="7"/>
  </r>
  <r>
    <s v="ORD-10499"/>
    <d v="2026-02-23T00:00:00"/>
    <x v="2"/>
    <s v="Bengaluru"/>
    <x v="1"/>
    <s v="Individual"/>
    <s v="Printer"/>
    <x v="2"/>
    <n v="2"/>
    <n v="13360"/>
    <n v="0.05"/>
    <s v="UPI"/>
    <s v="Ananya Rao"/>
    <x v="0"/>
    <n v="26720"/>
    <n v="1336"/>
    <n v="25384"/>
    <n v="2"/>
    <x v="7"/>
  </r>
  <r>
    <s v="ORD-10377"/>
    <d v="2026-02-24T00:00:00"/>
    <x v="2"/>
    <s v="Chennai"/>
    <x v="2"/>
    <s v="Individual"/>
    <s v="Backpack"/>
    <x v="1"/>
    <n v="5"/>
    <n v="2240"/>
    <n v="0.05"/>
    <s v="UPI"/>
    <s v="Karan Patel"/>
    <x v="0"/>
    <n v="11200"/>
    <n v="560"/>
    <n v="10640"/>
    <n v="1"/>
    <x v="7"/>
  </r>
  <r>
    <s v="ORD-10293"/>
    <d v="2026-02-24T00:00:00"/>
    <x v="0"/>
    <s v="Jaipur"/>
    <x v="1"/>
    <s v="Individual"/>
    <s v="Office Desk"/>
    <x v="4"/>
    <n v="3"/>
    <n v="14190"/>
    <n v="0.08"/>
    <s v="Net Banking"/>
    <s v="Ananya Rao"/>
    <x v="0"/>
    <n v="42570"/>
    <n v="3405.6"/>
    <n v="39164.400000000001"/>
    <n v="2"/>
    <x v="7"/>
  </r>
  <r>
    <s v="ORD-10592"/>
    <d v="2026-02-24T00:00:00"/>
    <x v="2"/>
    <s v="Bengaluru"/>
    <x v="0"/>
    <s v="Individual"/>
    <s v="Office Desk"/>
    <x v="4"/>
    <n v="2"/>
    <n v="14660"/>
    <n v="0.05"/>
    <s v="Debit Card"/>
    <s v="Vikram Singh"/>
    <x v="0"/>
    <n v="29320"/>
    <n v="1466"/>
    <n v="27854"/>
    <n v="2"/>
    <x v="7"/>
  </r>
  <r>
    <s v="ORD-10202"/>
    <d v="2026-02-24T00:00:00"/>
    <x v="0"/>
    <s v="Jaipur"/>
    <x v="1"/>
    <s v="Individual"/>
    <s v="Tablet"/>
    <x v="0"/>
    <n v="2"/>
    <n v="22510"/>
    <n v="0.05"/>
    <s v="Credit Card"/>
    <s v="Ananya Rao"/>
    <x v="0"/>
    <n v="45020"/>
    <n v="2251"/>
    <n v="42769"/>
    <n v="2"/>
    <x v="7"/>
  </r>
  <r>
    <s v="ORD-10513"/>
    <d v="2026-02-24T00:00:00"/>
    <x v="2"/>
    <s v="Bengaluru"/>
    <x v="0"/>
    <s v="Enterprise"/>
    <s v="Office Desk"/>
    <x v="4"/>
    <n v="2"/>
    <n v="14620"/>
    <n v="0.1"/>
    <s v="Net Banking"/>
    <s v="Rohan Sharma"/>
    <x v="0"/>
    <n v="29240"/>
    <n v="2924"/>
    <n v="26316"/>
    <n v="2"/>
    <x v="7"/>
  </r>
  <r>
    <s v="ORD-10040"/>
    <d v="2026-02-24T00:00:00"/>
    <x v="1"/>
    <s v="Pune"/>
    <x v="1"/>
    <s v="Enterprise"/>
    <s v="Mouse"/>
    <x v="1"/>
    <n v="2"/>
    <n v="960"/>
    <n v="0.1"/>
    <s v="Net Banking"/>
    <s v="Rohan Sharma"/>
    <x v="0"/>
    <n v="1920"/>
    <n v="192"/>
    <n v="1728"/>
    <n v="3"/>
    <x v="7"/>
  </r>
  <r>
    <s v="ORD-10075"/>
    <d v="2026-02-25T00:00:00"/>
    <x v="2"/>
    <s v="Chennai"/>
    <x v="1"/>
    <s v="Enterprise"/>
    <s v="Office Desk"/>
    <x v="4"/>
    <n v="2"/>
    <n v="14510"/>
    <n v="0"/>
    <s v="Cash on Delivery"/>
    <s v="Vikram Singh"/>
    <x v="0"/>
    <n v="29020"/>
    <n v="0"/>
    <n v="29020"/>
    <n v="6"/>
    <x v="7"/>
  </r>
  <r>
    <s v="ORD-10504"/>
    <d v="2026-02-25T00:00:00"/>
    <x v="0"/>
    <s v="Delhi"/>
    <x v="0"/>
    <s v="Small Business"/>
    <s v="Monitor"/>
    <x v="0"/>
    <n v="2"/>
    <n v="16370"/>
    <n v="0"/>
    <s v="Debit Card"/>
    <s v="Neha Kapoor"/>
    <x v="0"/>
    <n v="32740"/>
    <n v="0"/>
    <n v="32740"/>
    <n v="3"/>
    <x v="7"/>
  </r>
  <r>
    <s v="ORD-10643"/>
    <d v="2026-02-25T00:00:00"/>
    <x v="0"/>
    <s v="Noida"/>
    <x v="0"/>
    <s v="Individual"/>
    <s v="Mouse"/>
    <x v="1"/>
    <n v="5"/>
    <n v="980"/>
    <n v="0.1"/>
    <s v="Debit Card"/>
    <s v="Aarav Mehta"/>
    <x v="0"/>
    <n v="4900"/>
    <n v="490"/>
    <n v="4410"/>
    <n v="4"/>
    <x v="7"/>
  </r>
  <r>
    <s v="ORD-10551"/>
    <d v="2026-02-25T00:00:00"/>
    <x v="2"/>
    <s v="Chennai"/>
    <x v="1"/>
    <s v="Enterprise"/>
    <s v="External SSD"/>
    <x v="3"/>
    <n v="4"/>
    <n v="6810"/>
    <n v="0.1"/>
    <s v="UPI"/>
    <s v="Aarav Mehta"/>
    <x v="0"/>
    <n v="27240"/>
    <n v="2724"/>
    <n v="24516"/>
    <n v="6"/>
    <x v="7"/>
  </r>
  <r>
    <s v="ORD-10053"/>
    <d v="2026-02-26T00:00:00"/>
    <x v="2"/>
    <s v="Kochi"/>
    <x v="1"/>
    <s v="Individual"/>
    <s v="Office Desk"/>
    <x v="4"/>
    <n v="3"/>
    <n v="14770"/>
    <n v="0"/>
    <s v="Cash on Delivery"/>
    <s v="Sneha Iyer"/>
    <x v="0"/>
    <n v="44310"/>
    <n v="0"/>
    <n v="44310"/>
    <n v="3"/>
    <x v="7"/>
  </r>
  <r>
    <s v="ORD-10195"/>
    <d v="2026-02-26T00:00:00"/>
    <x v="3"/>
    <s v="Kolkata"/>
    <x v="1"/>
    <s v="Small Business"/>
    <s v="Laptop"/>
    <x v="0"/>
    <n v="1"/>
    <n v="61710"/>
    <n v="0.05"/>
    <s v="Cash on Delivery"/>
    <s v="Karan Patel"/>
    <x v="0"/>
    <n v="61710"/>
    <n v="3085.5"/>
    <n v="58624.5"/>
    <n v="1"/>
    <x v="7"/>
  </r>
  <r>
    <s v="ORD-10058"/>
    <d v="2026-02-26T00:00:00"/>
    <x v="1"/>
    <s v="Ahmedabad"/>
    <x v="2"/>
    <s v="Small Business"/>
    <s v="Printer"/>
    <x v="2"/>
    <n v="1"/>
    <n v="12430"/>
    <n v="0"/>
    <s v="Credit Card"/>
    <s v="Vikram Singh"/>
    <x v="1"/>
    <n v="0"/>
    <n v="0"/>
    <n v="0"/>
    <m/>
    <x v="7"/>
  </r>
  <r>
    <s v="ORD-10514"/>
    <d v="2026-02-27T00:00:00"/>
    <x v="2"/>
    <s v="Hyderabad"/>
    <x v="1"/>
    <s v="Individual"/>
    <s v="Webcam"/>
    <x v="1"/>
    <n v="1"/>
    <n v="3700"/>
    <n v="0.08"/>
    <s v="Net Banking"/>
    <s v="Neha Kapoor"/>
    <x v="0"/>
    <n v="3700"/>
    <n v="296"/>
    <n v="3404"/>
    <n v="3"/>
    <x v="7"/>
  </r>
  <r>
    <s v="ORD-10431"/>
    <d v="2026-03-01T00:00:00"/>
    <x v="0"/>
    <s v="Noida"/>
    <x v="1"/>
    <s v="Individual"/>
    <s v="Wireless Headphones"/>
    <x v="0"/>
    <n v="1"/>
    <n v="3340"/>
    <n v="0.08"/>
    <s v="UPI"/>
    <s v="Ananya Rao"/>
    <x v="0"/>
    <n v="3340"/>
    <n v="267.2"/>
    <n v="3072.8"/>
    <n v="2"/>
    <x v="8"/>
  </r>
  <r>
    <s v="ORD-10345"/>
    <d v="2026-03-01T00:00:00"/>
    <x v="1"/>
    <s v="Ahmedabad"/>
    <x v="0"/>
    <s v="Individual"/>
    <s v="Laptop"/>
    <x v="0"/>
    <n v="3"/>
    <n v="61300"/>
    <n v="0.1"/>
    <s v="Debit Card"/>
    <s v="Vikram Singh"/>
    <x v="0"/>
    <n v="183900"/>
    <n v="18390"/>
    <n v="165510"/>
    <n v="4"/>
    <x v="8"/>
  </r>
  <r>
    <s v="ORD-10106"/>
    <d v="2026-03-04T00:00:00"/>
    <x v="1"/>
    <s v="Mumbai"/>
    <x v="1"/>
    <s v="Individual"/>
    <s v="Printer"/>
    <x v="2"/>
    <n v="1"/>
    <n v="11630"/>
    <n v="0"/>
    <s v="Credit Card"/>
    <s v="Aarav Mehta"/>
    <x v="0"/>
    <n v="11630"/>
    <n v="0"/>
    <n v="11630"/>
    <n v="2"/>
    <x v="8"/>
  </r>
  <r>
    <s v="ORD-10562"/>
    <d v="2026-03-04T00:00:00"/>
    <x v="3"/>
    <s v="Guwahati"/>
    <x v="0"/>
    <s v="Small Business"/>
    <s v="Power Bank"/>
    <x v="1"/>
    <n v="3"/>
    <n v="1780"/>
    <n v="0.05"/>
    <s v="Debit Card"/>
    <s v="Sneha Iyer"/>
    <x v="0"/>
    <n v="5340"/>
    <n v="267"/>
    <n v="5073"/>
    <n v="3"/>
    <x v="8"/>
  </r>
  <r>
    <s v="ORD-10050"/>
    <d v="2026-03-05T00:00:00"/>
    <x v="2"/>
    <s v="Bengaluru"/>
    <x v="0"/>
    <s v="Individual"/>
    <s v="Backpack"/>
    <x v="1"/>
    <n v="3"/>
    <n v="2530"/>
    <n v="0.05"/>
    <s v="UPI"/>
    <s v="Rohan Sharma"/>
    <x v="0"/>
    <n v="7590"/>
    <n v="379.5"/>
    <n v="7210.5"/>
    <n v="3"/>
    <x v="8"/>
  </r>
  <r>
    <s v="ORD-10151"/>
    <d v="2026-03-06T00:00:00"/>
    <x v="0"/>
    <s v="Delhi"/>
    <x v="1"/>
    <s v="Small Business"/>
    <s v="Webcam"/>
    <x v="1"/>
    <n v="1"/>
    <n v="3510"/>
    <n v="0"/>
    <s v="UPI"/>
    <s v="Karan Patel"/>
    <x v="0"/>
    <n v="3510"/>
    <n v="0"/>
    <n v="3510"/>
    <n v="2"/>
    <x v="8"/>
  </r>
  <r>
    <s v="ORD-10410"/>
    <d v="2026-03-07T00:00:00"/>
    <x v="0"/>
    <s v="Delhi"/>
    <x v="1"/>
    <s v="Individual"/>
    <s v="Mouse"/>
    <x v="1"/>
    <n v="1"/>
    <n v="940"/>
    <n v="0.05"/>
    <s v="Credit Card"/>
    <s v="Ananya Rao"/>
    <x v="0"/>
    <n v="940"/>
    <n v="47"/>
    <n v="893"/>
    <n v="3"/>
    <x v="8"/>
  </r>
  <r>
    <s v="ORD-10240"/>
    <d v="2026-03-07T00:00:00"/>
    <x v="0"/>
    <s v="Lucknow"/>
    <x v="1"/>
    <s v="Individual"/>
    <s v="Mouse"/>
    <x v="1"/>
    <n v="1"/>
    <n v="880"/>
    <n v="0"/>
    <s v="Credit Card"/>
    <s v="Aarav Mehta"/>
    <x v="0"/>
    <n v="880"/>
    <n v="0"/>
    <n v="880"/>
    <n v="1"/>
    <x v="8"/>
  </r>
  <r>
    <s v="ORD-10102"/>
    <d v="2026-03-07T00:00:00"/>
    <x v="2"/>
    <s v="Hyderabad"/>
    <x v="1"/>
    <s v="Individual"/>
    <s v="Laptop"/>
    <x v="0"/>
    <n v="2"/>
    <n v="62980"/>
    <n v="0.1"/>
    <s v="UPI"/>
    <s v="Vikram Singh"/>
    <x v="0"/>
    <n v="125960"/>
    <n v="12596"/>
    <n v="113364"/>
    <n v="6"/>
    <x v="8"/>
  </r>
  <r>
    <s v="ORD-10107"/>
    <d v="2026-03-08T00:00:00"/>
    <x v="1"/>
    <s v="Ahmedabad"/>
    <x v="1"/>
    <s v="Individual"/>
    <s v="Monitor"/>
    <x v="0"/>
    <n v="4"/>
    <n v="17650"/>
    <n v="0.08"/>
    <s v="UPI"/>
    <s v="Priya Nair"/>
    <x v="0"/>
    <n v="70600"/>
    <n v="5648"/>
    <n v="64952"/>
    <n v="4"/>
    <x v="8"/>
  </r>
  <r>
    <s v="ORD-10004"/>
    <d v="2026-03-08T00:00:00"/>
    <x v="2"/>
    <s v="Kochi"/>
    <x v="0"/>
    <s v="Individual"/>
    <s v="Office Chair"/>
    <x v="4"/>
    <n v="4"/>
    <n v="11280"/>
    <n v="0.08"/>
    <s v="Debit Card"/>
    <s v="Vikram Singh"/>
    <x v="0"/>
    <n v="45120"/>
    <n v="3609.6"/>
    <n v="41510.400000000001"/>
    <n v="6"/>
    <x v="8"/>
  </r>
  <r>
    <s v="ORD-10336"/>
    <d v="2026-03-08T00:00:00"/>
    <x v="0"/>
    <s v="Noida"/>
    <x v="1"/>
    <s v="Individual"/>
    <s v="Smartphone"/>
    <x v="0"/>
    <n v="1"/>
    <n v="28780"/>
    <n v="0.05"/>
    <s v="Net Banking"/>
    <s v="Aarav Mehta"/>
    <x v="0"/>
    <n v="28780"/>
    <n v="1439"/>
    <n v="27341"/>
    <n v="3"/>
    <x v="8"/>
  </r>
  <r>
    <s v="ORD-10135"/>
    <d v="2026-03-10T00:00:00"/>
    <x v="1"/>
    <s v="Surat"/>
    <x v="1"/>
    <s v="Individual"/>
    <s v="Wireless Headphones"/>
    <x v="0"/>
    <n v="1"/>
    <n v="3250"/>
    <n v="0.05"/>
    <s v="Credit Card"/>
    <s v="Priya Nair"/>
    <x v="0"/>
    <n v="3250"/>
    <n v="162.5"/>
    <n v="3087.5"/>
    <n v="3"/>
    <x v="8"/>
  </r>
  <r>
    <s v="ORD-10179"/>
    <d v="2026-03-10T00:00:00"/>
    <x v="3"/>
    <s v="Guwahati"/>
    <x v="0"/>
    <s v="Small Business"/>
    <s v="Keyboard"/>
    <x v="1"/>
    <n v="2"/>
    <n v="1710"/>
    <n v="0.05"/>
    <s v="Net Banking"/>
    <s v="Neha Kapoor"/>
    <x v="0"/>
    <n v="3420"/>
    <n v="171"/>
    <n v="3249"/>
    <n v="1"/>
    <x v="8"/>
  </r>
  <r>
    <s v="ORD-10525"/>
    <d v="2026-03-11T00:00:00"/>
    <x v="2"/>
    <s v="Chennai"/>
    <x v="0"/>
    <s v="Individual"/>
    <s v="Laptop"/>
    <x v="0"/>
    <n v="5"/>
    <n v="59270"/>
    <n v="0.1"/>
    <s v="UPI"/>
    <s v="Aarav Mehta"/>
    <x v="0"/>
    <n v="296350"/>
    <n v="29635"/>
    <n v="266715"/>
    <n v="2"/>
    <x v="8"/>
  </r>
  <r>
    <s v="ORD-10581"/>
    <d v="2026-03-12T00:00:00"/>
    <x v="2"/>
    <s v="Hyderabad"/>
    <x v="0"/>
    <s v="Individual"/>
    <s v="Laptop"/>
    <x v="0"/>
    <n v="4"/>
    <n v="63340"/>
    <n v="0.05"/>
    <s v="Credit Card"/>
    <s v="Rohan Sharma"/>
    <x v="0"/>
    <n v="253360"/>
    <n v="12668"/>
    <n v="240692"/>
    <n v="2"/>
    <x v="8"/>
  </r>
  <r>
    <s v="ORD-10253"/>
    <d v="2026-03-12T00:00:00"/>
    <x v="0"/>
    <s v="Jaipur"/>
    <x v="2"/>
    <s v="Individual"/>
    <s v="Smartphone"/>
    <x v="0"/>
    <n v="4"/>
    <n v="29210"/>
    <n v="0"/>
    <s v="Credit Card"/>
    <s v="Aarav Mehta"/>
    <x v="0"/>
    <n v="116840"/>
    <n v="0"/>
    <n v="116840"/>
    <n v="2"/>
    <x v="8"/>
  </r>
  <r>
    <s v="ORD-10098"/>
    <d v="2026-03-12T00:00:00"/>
    <x v="1"/>
    <s v="Mumbai"/>
    <x v="0"/>
    <s v="Small Business"/>
    <s v="Office Desk"/>
    <x v="4"/>
    <n v="1"/>
    <n v="13930"/>
    <n v="0"/>
    <s v="UPI"/>
    <s v="Ananya Rao"/>
    <x v="0"/>
    <n v="13930"/>
    <n v="0"/>
    <n v="13930"/>
    <n v="1"/>
    <x v="8"/>
  </r>
  <r>
    <s v="ORD-10233"/>
    <d v="2026-03-13T00:00:00"/>
    <x v="2"/>
    <s v="Bengaluru"/>
    <x v="0"/>
    <s v="Individual"/>
    <s v="Power Bank"/>
    <x v="1"/>
    <n v="1"/>
    <n v="1700"/>
    <n v="0.08"/>
    <s v="UPI"/>
    <s v="Neha Kapoor"/>
    <x v="0"/>
    <n v="1700"/>
    <n v="136"/>
    <n v="1564"/>
    <n v="2"/>
    <x v="8"/>
  </r>
  <r>
    <s v="ORD-10597"/>
    <d v="2026-03-14T00:00:00"/>
    <x v="2"/>
    <s v="Bengaluru"/>
    <x v="2"/>
    <s v="Enterprise"/>
    <s v="Office Chair"/>
    <x v="4"/>
    <n v="3"/>
    <n v="11540"/>
    <n v="0.08"/>
    <s v="Net Banking"/>
    <s v="Rohan Sharma"/>
    <x v="0"/>
    <n v="34620"/>
    <n v="2769.6"/>
    <n v="31850.400000000001"/>
    <n v="4"/>
    <x v="8"/>
  </r>
  <r>
    <s v="ORD-10026"/>
    <d v="2026-03-14T00:00:00"/>
    <x v="3"/>
    <s v="Kolkata"/>
    <x v="1"/>
    <s v="Enterprise"/>
    <s v="Office Desk"/>
    <x v="4"/>
    <n v="4"/>
    <n v="14870"/>
    <n v="0.05"/>
    <s v="Credit Card"/>
    <s v="Neha Kapoor"/>
    <x v="2"/>
    <n v="59480"/>
    <n v="2974"/>
    <n v="56506"/>
    <n v="4"/>
    <x v="8"/>
  </r>
  <r>
    <s v="ORD-10520"/>
    <d v="2026-03-14T00:00:00"/>
    <x v="1"/>
    <s v="Surat"/>
    <x v="2"/>
    <s v="Individual"/>
    <s v="Office Chair"/>
    <x v="4"/>
    <n v="3"/>
    <n v="10740"/>
    <n v="0.08"/>
    <s v="UPI"/>
    <s v="Karan Patel"/>
    <x v="0"/>
    <n v="32220"/>
    <n v="2577.6"/>
    <n v="29642.400000000001"/>
    <n v="3"/>
    <x v="8"/>
  </r>
  <r>
    <s v="ORD-10130"/>
    <d v="2026-03-14T00:00:00"/>
    <x v="3"/>
    <s v="Kolkata"/>
    <x v="0"/>
    <s v="Individual"/>
    <s v="Office Desk"/>
    <x v="4"/>
    <n v="1"/>
    <n v="15490"/>
    <n v="0.08"/>
    <s v="UPI"/>
    <s v="Sneha Iyer"/>
    <x v="0"/>
    <n v="15490"/>
    <n v="1239.2"/>
    <n v="14250.8"/>
    <n v="3"/>
    <x v="8"/>
  </r>
  <r>
    <s v="ORD-10408"/>
    <d v="2026-03-15T00:00:00"/>
    <x v="2"/>
    <s v="Kochi"/>
    <x v="0"/>
    <s v="Individual"/>
    <s v="Wireless Headphones"/>
    <x v="0"/>
    <n v="1"/>
    <n v="3370"/>
    <n v="0.05"/>
    <s v="UPI"/>
    <s v="Sneha Iyer"/>
    <x v="0"/>
    <n v="3370"/>
    <n v="168.5"/>
    <n v="3201.5"/>
    <n v="2"/>
    <x v="8"/>
  </r>
  <r>
    <s v="ORD-10632"/>
    <d v="2026-03-16T00:00:00"/>
    <x v="2"/>
    <s v="Chennai"/>
    <x v="2"/>
    <s v="Enterprise"/>
    <s v="Wireless Headphones"/>
    <x v="0"/>
    <n v="2"/>
    <n v="3230"/>
    <n v="0.08"/>
    <s v="Net Banking"/>
    <s v="Priya Nair"/>
    <x v="0"/>
    <n v="6460"/>
    <n v="516.79999999999995"/>
    <n v="5943.2"/>
    <n v="2"/>
    <x v="8"/>
  </r>
  <r>
    <s v="ORD-10304"/>
    <d v="2026-03-16T00:00:00"/>
    <x v="0"/>
    <s v="Jaipur"/>
    <x v="2"/>
    <s v="Individual"/>
    <s v="Office Chair"/>
    <x v="4"/>
    <n v="1"/>
    <n v="11270"/>
    <n v="0.05"/>
    <s v="Debit Card"/>
    <s v="Vikram Singh"/>
    <x v="0"/>
    <n v="11270"/>
    <n v="563.5"/>
    <n v="10706.5"/>
    <n v="3"/>
    <x v="8"/>
  </r>
  <r>
    <s v="ORD-10398"/>
    <d v="2026-03-17T00:00:00"/>
    <x v="2"/>
    <s v="Chennai"/>
    <x v="1"/>
    <s v="Individual"/>
    <s v="Keyboard"/>
    <x v="1"/>
    <n v="5"/>
    <n v="1750"/>
    <n v="0.1"/>
    <s v="Credit Card"/>
    <s v="Aarav Mehta"/>
    <x v="2"/>
    <n v="8750"/>
    <n v="875"/>
    <n v="7875"/>
    <n v="3"/>
    <x v="8"/>
  </r>
  <r>
    <s v="ORD-10294"/>
    <d v="2026-03-18T00:00:00"/>
    <x v="0"/>
    <s v="Noida"/>
    <x v="1"/>
    <s v="Small Business"/>
    <s v="Smartphone"/>
    <x v="0"/>
    <n v="1"/>
    <n v="28130"/>
    <n v="0.03"/>
    <s v="Debit Card"/>
    <s v="Vikram Singh"/>
    <x v="0"/>
    <n v="28130"/>
    <n v="843.9"/>
    <n v="27286.1"/>
    <n v="2"/>
    <x v="8"/>
  </r>
  <r>
    <s v="ORD-10067"/>
    <d v="2026-03-19T00:00:00"/>
    <x v="2"/>
    <s v="Hyderabad"/>
    <x v="2"/>
    <s v="Enterprise"/>
    <s v="Smartphone"/>
    <x v="0"/>
    <n v="1"/>
    <n v="28550"/>
    <n v="0.05"/>
    <s v="UPI"/>
    <s v="Sneha Iyer"/>
    <x v="0"/>
    <n v="28550"/>
    <n v="1427.5"/>
    <n v="27122.5"/>
    <n v="2"/>
    <x v="8"/>
  </r>
  <r>
    <s v="ORD-10099"/>
    <d v="2026-03-19T00:00:00"/>
    <x v="3"/>
    <s v="Bhubaneswar"/>
    <x v="0"/>
    <s v="Small Business"/>
    <s v="Wireless Headphones"/>
    <x v="0"/>
    <n v="1"/>
    <n v="3290"/>
    <n v="0.08"/>
    <s v="UPI"/>
    <s v="Karan Patel"/>
    <x v="0"/>
    <n v="3290"/>
    <n v="263.2"/>
    <n v="3026.8"/>
    <n v="4"/>
    <x v="8"/>
  </r>
  <r>
    <s v="ORD-10442"/>
    <d v="2026-03-20T00:00:00"/>
    <x v="1"/>
    <s v="Ahmedabad"/>
    <x v="1"/>
    <s v="Individual"/>
    <s v="Smartphone"/>
    <x v="0"/>
    <n v="4"/>
    <n v="29130"/>
    <n v="0"/>
    <s v="Debit Card"/>
    <s v="Rohan Sharma"/>
    <x v="0"/>
    <n v="116520"/>
    <n v="0"/>
    <n v="116520"/>
    <n v="4"/>
    <x v="8"/>
  </r>
  <r>
    <s v="ORD-10595"/>
    <d v="2026-03-20T00:00:00"/>
    <x v="0"/>
    <s v="Noida"/>
    <x v="2"/>
    <s v="Enterprise"/>
    <s v="Laptop"/>
    <x v="0"/>
    <n v="5"/>
    <n v="63150"/>
    <n v="0"/>
    <s v="Cash on Delivery"/>
    <s v="Ananya Rao"/>
    <x v="0"/>
    <n v="315750"/>
    <n v="0"/>
    <n v="315750"/>
    <n v="2"/>
    <x v="8"/>
  </r>
  <r>
    <s v="ORD-10624"/>
    <d v="2026-03-20T00:00:00"/>
    <x v="2"/>
    <s v="Kochi"/>
    <x v="0"/>
    <s v="Small Business"/>
    <s v="Mouse"/>
    <x v="1"/>
    <n v="3"/>
    <n v="960"/>
    <n v="0.03"/>
    <s v="UPI"/>
    <s v="Aarav Mehta"/>
    <x v="0"/>
    <n v="2880"/>
    <n v="86.4"/>
    <n v="2793.6"/>
    <n v="2"/>
    <x v="8"/>
  </r>
  <r>
    <s v="ORD-10644"/>
    <d v="2026-03-21T00:00:00"/>
    <x v="1"/>
    <s v="Ahmedabad"/>
    <x v="1"/>
    <s v="Individual"/>
    <s v="Tablet"/>
    <x v="0"/>
    <n v="3"/>
    <n v="21530"/>
    <n v="0.05"/>
    <s v="Debit Card"/>
    <s v="Ananya Rao"/>
    <x v="0"/>
    <n v="64590"/>
    <n v="3229.5"/>
    <n v="61360.5"/>
    <n v="4"/>
    <x v="8"/>
  </r>
  <r>
    <s v="ORD-10204"/>
    <d v="2026-03-21T00:00:00"/>
    <x v="2"/>
    <s v="Hyderabad"/>
    <x v="1"/>
    <s v="Individual"/>
    <s v="Power Bank"/>
    <x v="1"/>
    <n v="1"/>
    <n v="1790"/>
    <n v="0"/>
    <s v="UPI"/>
    <s v="Sneha Iyer"/>
    <x v="0"/>
    <n v="1790"/>
    <n v="0"/>
    <n v="1790"/>
    <n v="4"/>
    <x v="8"/>
  </r>
  <r>
    <s v="ORD-10023"/>
    <d v="2026-03-22T00:00:00"/>
    <x v="2"/>
    <s v="Chennai"/>
    <x v="0"/>
    <s v="Individual"/>
    <s v="Office Chair"/>
    <x v="4"/>
    <n v="5"/>
    <n v="11440"/>
    <n v="0"/>
    <s v="UPI"/>
    <s v="Sneha Iyer"/>
    <x v="0"/>
    <n v="57200"/>
    <n v="0"/>
    <n v="57200"/>
    <n v="4"/>
    <x v="8"/>
  </r>
  <r>
    <s v="ORD-10557"/>
    <d v="2026-03-23T00:00:00"/>
    <x v="3"/>
    <s v="Guwahati"/>
    <x v="1"/>
    <s v="Individual"/>
    <s v="Webcam"/>
    <x v="1"/>
    <n v="3"/>
    <n v="3760"/>
    <n v="0"/>
    <s v="Credit Card"/>
    <s v="Vikram Singh"/>
    <x v="0"/>
    <n v="11280"/>
    <n v="0"/>
    <n v="11280"/>
    <n v="1"/>
    <x v="8"/>
  </r>
  <r>
    <s v="ORD-10257"/>
    <d v="2026-03-23T00:00:00"/>
    <x v="1"/>
    <s v="Surat"/>
    <x v="0"/>
    <s v="Individual"/>
    <s v="Smartphone"/>
    <x v="0"/>
    <n v="1"/>
    <n v="26430"/>
    <n v="0.03"/>
    <s v="Credit Card"/>
    <s v="Vikram Singh"/>
    <x v="0"/>
    <n v="26430"/>
    <n v="792.9"/>
    <n v="25637.1"/>
    <n v="3"/>
    <x v="8"/>
  </r>
  <r>
    <s v="ORD-10128"/>
    <d v="2026-03-24T00:00:00"/>
    <x v="2"/>
    <s v="Chennai"/>
    <x v="1"/>
    <s v="Individual"/>
    <s v="Laptop"/>
    <x v="0"/>
    <n v="2"/>
    <n v="58380"/>
    <n v="0.03"/>
    <s v="Credit Card"/>
    <s v="Karan Patel"/>
    <x v="0"/>
    <n v="116760"/>
    <n v="3502.8"/>
    <n v="113257.2"/>
    <n v="6"/>
    <x v="8"/>
  </r>
  <r>
    <s v="ORD-10181"/>
    <d v="2026-03-24T00:00:00"/>
    <x v="2"/>
    <s v="Hyderabad"/>
    <x v="1"/>
    <s v="Individual"/>
    <s v="Laptop"/>
    <x v="0"/>
    <n v="1"/>
    <n v="65260"/>
    <n v="0"/>
    <s v="Cash on Delivery"/>
    <s v="Sneha Iyer"/>
    <x v="0"/>
    <n v="65260"/>
    <n v="0"/>
    <n v="65260"/>
    <n v="3"/>
    <x v="8"/>
  </r>
  <r>
    <s v="ORD-10469"/>
    <d v="2026-03-24T00:00:00"/>
    <x v="2"/>
    <s v="Kochi"/>
    <x v="0"/>
    <s v="Individual"/>
    <s v="External SSD"/>
    <x v="3"/>
    <n v="3"/>
    <n v="7280"/>
    <n v="0"/>
    <s v="UPI"/>
    <s v="Karan Patel"/>
    <x v="0"/>
    <n v="21840"/>
    <n v="0"/>
    <n v="21840"/>
    <n v="4"/>
    <x v="8"/>
  </r>
  <r>
    <s v="ORD-10260"/>
    <d v="2026-03-25T00:00:00"/>
    <x v="0"/>
    <s v="Noida"/>
    <x v="0"/>
    <s v="Small Business"/>
    <s v="Wireless Headphones"/>
    <x v="0"/>
    <n v="1"/>
    <n v="3200"/>
    <n v="0"/>
    <s v="Cash on Delivery"/>
    <s v="Neha Kapoor"/>
    <x v="0"/>
    <n v="3200"/>
    <n v="0"/>
    <n v="3200"/>
    <n v="3"/>
    <x v="8"/>
  </r>
  <r>
    <s v="ORD-10580"/>
    <d v="2026-03-26T00:00:00"/>
    <x v="1"/>
    <s v="Ahmedabad"/>
    <x v="0"/>
    <s v="Individual"/>
    <s v="Printer"/>
    <x v="2"/>
    <n v="2"/>
    <n v="12720"/>
    <n v="0.08"/>
    <s v="UPI"/>
    <s v="Karan Patel"/>
    <x v="0"/>
    <n v="25440"/>
    <n v="2035.2"/>
    <n v="23404.799999999999"/>
    <n v="2"/>
    <x v="8"/>
  </r>
  <r>
    <s v="ORD-10572"/>
    <d v="2026-03-26T00:00:00"/>
    <x v="2"/>
    <s v="Bengaluru"/>
    <x v="1"/>
    <s v="Individual"/>
    <s v="Wireless Headphones"/>
    <x v="0"/>
    <n v="1"/>
    <n v="3240"/>
    <n v="0.05"/>
    <s v="Cash on Delivery"/>
    <s v="Karan Patel"/>
    <x v="0"/>
    <n v="3240"/>
    <n v="162"/>
    <n v="3078"/>
    <n v="3"/>
    <x v="8"/>
  </r>
  <r>
    <s v="ORD-10552"/>
    <d v="2026-03-26T00:00:00"/>
    <x v="2"/>
    <s v="Unknown"/>
    <x v="0"/>
    <s v="Individual"/>
    <s v="Office Desk"/>
    <x v="4"/>
    <n v="5"/>
    <n v="15490"/>
    <n v="0"/>
    <s v="Debit Card"/>
    <s v="Karan Patel"/>
    <x v="0"/>
    <n v="77450"/>
    <n v="0"/>
    <n v="77450"/>
    <n v="5"/>
    <x v="8"/>
  </r>
  <r>
    <s v="ORD-10008"/>
    <d v="2026-03-26T00:00:00"/>
    <x v="3"/>
    <s v="Bhubaneswar"/>
    <x v="0"/>
    <s v="Individual"/>
    <s v="Printer"/>
    <x v="2"/>
    <n v="2"/>
    <n v="12610"/>
    <n v="0.08"/>
    <s v="Credit Card"/>
    <s v="Aarav Mehta"/>
    <x v="0"/>
    <n v="25220"/>
    <n v="2017.6"/>
    <n v="23202.400000000001"/>
    <n v="1"/>
    <x v="8"/>
  </r>
  <r>
    <s v="ORD-10430"/>
    <d v="2026-03-27T00:00:00"/>
    <x v="1"/>
    <s v="Pune"/>
    <x v="1"/>
    <s v="Individual"/>
    <s v="Monitor"/>
    <x v="0"/>
    <n v="3"/>
    <n v="15890"/>
    <n v="0.03"/>
    <s v="UPI"/>
    <s v="Priya Nair"/>
    <x v="0"/>
    <n v="47670"/>
    <n v="1430.1"/>
    <n v="46239.9"/>
    <n v="4"/>
    <x v="8"/>
  </r>
  <r>
    <s v="ORD-10208"/>
    <d v="2026-03-27T00:00:00"/>
    <x v="2"/>
    <s v="Kochi"/>
    <x v="0"/>
    <s v="Individual"/>
    <s v="Laptop"/>
    <x v="0"/>
    <n v="2"/>
    <n v="64120"/>
    <n v="0.03"/>
    <s v="Credit Card"/>
    <s v="Aarav Mehta"/>
    <x v="0"/>
    <n v="128240"/>
    <n v="3847.2"/>
    <n v="124392.8"/>
    <n v="4"/>
    <x v="8"/>
  </r>
  <r>
    <s v="ORD-10587"/>
    <d v="2026-03-27T00:00:00"/>
    <x v="2"/>
    <s v="Kochi"/>
    <x v="2"/>
    <s v="Individual"/>
    <s v="Wireless Headphones"/>
    <x v="0"/>
    <n v="1"/>
    <n v="3230"/>
    <n v="0.03"/>
    <s v="Cash on Delivery"/>
    <s v="Priya Nair"/>
    <x v="0"/>
    <n v="3230"/>
    <n v="96.9"/>
    <n v="3133.1"/>
    <n v="1"/>
    <x v="8"/>
  </r>
  <r>
    <s v="ORD-10149"/>
    <d v="2026-03-28T00:00:00"/>
    <x v="1"/>
    <s v="Surat"/>
    <x v="1"/>
    <s v="Small Business"/>
    <s v="Mouse"/>
    <x v="1"/>
    <n v="1"/>
    <n v="1010"/>
    <n v="0.15"/>
    <s v="UPI"/>
    <s v="Priya Nair"/>
    <x v="0"/>
    <n v="1010"/>
    <n v="151.5"/>
    <n v="858.5"/>
    <n v="3"/>
    <x v="8"/>
  </r>
  <r>
    <s v="ORD-10035"/>
    <d v="2026-03-28T00:00:00"/>
    <x v="2"/>
    <s v="Bengaluru"/>
    <x v="2"/>
    <s v="Individual"/>
    <s v="Smartphone"/>
    <x v="0"/>
    <n v="1"/>
    <n v="26430"/>
    <n v="0.03"/>
    <s v="Cash on Delivery"/>
    <s v="Karan Patel"/>
    <x v="0"/>
    <n v="26430"/>
    <n v="792.9"/>
    <n v="25637.1"/>
    <n v="2"/>
    <x v="8"/>
  </r>
  <r>
    <s v="ORD-10498"/>
    <d v="2026-03-28T00:00:00"/>
    <x v="2"/>
    <s v="Chennai"/>
    <x v="1"/>
    <s v="Individual"/>
    <s v="Office Desk"/>
    <x v="4"/>
    <n v="5"/>
    <n v="14350"/>
    <n v="0.03"/>
    <s v="Credit Card"/>
    <s v="Neha Kapoor"/>
    <x v="0"/>
    <n v="71750"/>
    <n v="2152.5"/>
    <n v="69597.5"/>
    <n v="3"/>
    <x v="8"/>
  </r>
  <r>
    <s v="ORD-10355"/>
    <d v="2026-03-28T00:00:00"/>
    <x v="1"/>
    <s v="Pune"/>
    <x v="2"/>
    <s v="Individual"/>
    <s v="Keyboard"/>
    <x v="1"/>
    <n v="2"/>
    <n v="1750"/>
    <n v="0.08"/>
    <s v="Credit Card"/>
    <s v="Neha Kapoor"/>
    <x v="0"/>
    <n v="3500"/>
    <n v="280"/>
    <n v="3220"/>
    <n v="2"/>
    <x v="8"/>
  </r>
  <r>
    <s v="ORD-10537"/>
    <d v="2026-03-28T00:00:00"/>
    <x v="1"/>
    <s v="Pune"/>
    <x v="1"/>
    <s v="Individual"/>
    <s v="External SSD"/>
    <x v="3"/>
    <n v="2"/>
    <n v="7550"/>
    <n v="0.08"/>
    <s v="Credit Card"/>
    <s v="Priya Nair"/>
    <x v="0"/>
    <n v="15100"/>
    <n v="1208"/>
    <n v="13892"/>
    <n v="3"/>
    <x v="8"/>
  </r>
  <r>
    <s v="ORD-10584"/>
    <d v="2026-03-28T00:00:00"/>
    <x v="2"/>
    <s v="Bengaluru"/>
    <x v="1"/>
    <s v="Small Business"/>
    <s v="External SSD"/>
    <x v="3"/>
    <n v="1"/>
    <n v="6940"/>
    <n v="0.03"/>
    <s v="Credit Card"/>
    <s v="Ananya Rao"/>
    <x v="1"/>
    <n v="0"/>
    <n v="0"/>
    <n v="0"/>
    <m/>
    <x v="8"/>
  </r>
  <r>
    <s v="ORD-10356"/>
    <d v="2026-03-29T00:00:00"/>
    <x v="1"/>
    <s v="Surat"/>
    <x v="2"/>
    <s v="Individual"/>
    <s v="Smartphone"/>
    <x v="0"/>
    <n v="5"/>
    <n v="28160"/>
    <n v="0.05"/>
    <s v="Credit Card"/>
    <s v="Ananya Rao"/>
    <x v="0"/>
    <n v="140800"/>
    <n v="7040"/>
    <n v="133760"/>
    <n v="2"/>
    <x v="8"/>
  </r>
  <r>
    <s v="ORD-10119"/>
    <d v="2026-03-30T00:00:00"/>
    <x v="3"/>
    <s v="Guwahati"/>
    <x v="0"/>
    <s v="Individual"/>
    <s v="Laptop"/>
    <x v="0"/>
    <n v="3"/>
    <n v="58330"/>
    <n v="0.03"/>
    <s v="Credit Card"/>
    <s v="Karan Patel"/>
    <x v="0"/>
    <n v="174990"/>
    <n v="5249.7"/>
    <n v="169740.3"/>
    <n v="2"/>
    <x v="8"/>
  </r>
  <r>
    <s v="ORD-10028"/>
    <d v="2026-03-31T00:00:00"/>
    <x v="2"/>
    <s v="Hyderabad"/>
    <x v="2"/>
    <s v="Individual"/>
    <s v="Laptop"/>
    <x v="0"/>
    <n v="1"/>
    <n v="59540"/>
    <n v="0.15"/>
    <s v="Credit Card"/>
    <s v="Neha Kapoor"/>
    <x v="0"/>
    <n v="59540"/>
    <n v="8931"/>
    <n v="50609"/>
    <n v="6"/>
    <x v="8"/>
  </r>
  <r>
    <s v="ORD-10161"/>
    <d v="2026-04-01T00:00:00"/>
    <x v="2"/>
    <s v="Kochi"/>
    <x v="0"/>
    <s v="Individual"/>
    <s v="Mouse"/>
    <x v="1"/>
    <n v="1"/>
    <n v="1000"/>
    <n v="0.05"/>
    <s v="Debit Card"/>
    <s v="Aarav Mehta"/>
    <x v="0"/>
    <n v="1000"/>
    <n v="50"/>
    <n v="950"/>
    <n v="1"/>
    <x v="9"/>
  </r>
  <r>
    <s v="ORD-10440"/>
    <d v="2026-04-01T00:00:00"/>
    <x v="1"/>
    <s v="Ahmedabad"/>
    <x v="2"/>
    <s v="Enterprise"/>
    <s v="Backpack"/>
    <x v="1"/>
    <n v="3"/>
    <n v="2540"/>
    <n v="0.05"/>
    <s v="UPI"/>
    <s v="Aarav Mehta"/>
    <x v="0"/>
    <n v="7620"/>
    <n v="381"/>
    <n v="7239"/>
    <n v="2"/>
    <x v="9"/>
  </r>
  <r>
    <s v="ORD-10120"/>
    <d v="2026-04-03T00:00:00"/>
    <x v="0"/>
    <s v="Noida"/>
    <x v="1"/>
    <s v="Individual"/>
    <s v="Laptop"/>
    <x v="0"/>
    <n v="4"/>
    <n v="61700"/>
    <n v="0.05"/>
    <s v="Net Banking"/>
    <s v="Vikram Singh"/>
    <x v="0"/>
    <n v="246800"/>
    <n v="12340"/>
    <n v="234460"/>
    <n v="1"/>
    <x v="9"/>
  </r>
  <r>
    <s v="ORD-10378"/>
    <d v="2026-04-04T00:00:00"/>
    <x v="0"/>
    <s v="Lucknow"/>
    <x v="0"/>
    <s v="Individual"/>
    <s v="Laptop"/>
    <x v="0"/>
    <n v="1"/>
    <n v="61970"/>
    <n v="0.03"/>
    <s v="Net Banking"/>
    <s v="Ananya Rao"/>
    <x v="0"/>
    <n v="61970"/>
    <n v="1859.1"/>
    <n v="60110.9"/>
    <n v="2"/>
    <x v="9"/>
  </r>
  <r>
    <s v="ORD-10215"/>
    <d v="2026-04-05T00:00:00"/>
    <x v="2"/>
    <s v="Kochi"/>
    <x v="1"/>
    <s v="Individual"/>
    <s v="Printer"/>
    <x v="2"/>
    <n v="1"/>
    <n v="13130"/>
    <n v="0.03"/>
    <s v="Debit Card"/>
    <s v="Rohan Sharma"/>
    <x v="0"/>
    <n v="13130"/>
    <n v="393.9"/>
    <n v="12736.1"/>
    <n v="2"/>
    <x v="9"/>
  </r>
  <r>
    <s v="ORD-10284"/>
    <d v="2026-04-05T00:00:00"/>
    <x v="1"/>
    <s v="Mumbai"/>
    <x v="1"/>
    <s v="Individual"/>
    <s v="Keyboard"/>
    <x v="1"/>
    <n v="5"/>
    <n v="1730"/>
    <n v="0.1"/>
    <s v="Cash on Delivery"/>
    <s v="Priya Nair"/>
    <x v="0"/>
    <n v="8650"/>
    <n v="865"/>
    <n v="7785"/>
    <n v="2"/>
    <x v="9"/>
  </r>
  <r>
    <s v="ORD-10614"/>
    <d v="2026-04-06T00:00:00"/>
    <x v="1"/>
    <s v="Surat"/>
    <x v="0"/>
    <s v="Small Business"/>
    <s v="Printer"/>
    <x v="2"/>
    <n v="3"/>
    <n v="12190"/>
    <n v="0"/>
    <s v="UPI"/>
    <s v="Ananya Rao"/>
    <x v="0"/>
    <n v="36570"/>
    <n v="0"/>
    <n v="36570"/>
    <n v="5"/>
    <x v="9"/>
  </r>
  <r>
    <s v="ORD-10561"/>
    <d v="2026-04-06T00:00:00"/>
    <x v="2"/>
    <s v="Hyderabad"/>
    <x v="1"/>
    <s v="Small Business"/>
    <s v="Office Chair"/>
    <x v="4"/>
    <n v="3"/>
    <n v="11290"/>
    <n v="0.05"/>
    <s v="UPI"/>
    <s v="Ananya Rao"/>
    <x v="0"/>
    <n v="33870"/>
    <n v="1693.5"/>
    <n v="32176.5"/>
    <n v="2"/>
    <x v="9"/>
  </r>
  <r>
    <s v="ORD-10190"/>
    <d v="2026-04-07T00:00:00"/>
    <x v="1"/>
    <s v="Ahmedabad"/>
    <x v="0"/>
    <s v="Individual"/>
    <s v="External SSD"/>
    <x v="3"/>
    <n v="1"/>
    <n v="7150"/>
    <n v="0.05"/>
    <s v="Credit Card"/>
    <s v="Sneha Iyer"/>
    <x v="0"/>
    <n v="7150"/>
    <n v="357.5"/>
    <n v="6792.5"/>
    <n v="3"/>
    <x v="9"/>
  </r>
  <r>
    <s v="ORD-10048"/>
    <d v="2026-04-09T00:00:00"/>
    <x v="0"/>
    <s v="Lucknow"/>
    <x v="1"/>
    <s v="Enterprise"/>
    <s v="Office Desk"/>
    <x v="4"/>
    <n v="4"/>
    <n v="14940"/>
    <n v="0.05"/>
    <s v="Net Banking"/>
    <s v="Priya Nair"/>
    <x v="1"/>
    <n v="0"/>
    <n v="0"/>
    <n v="0"/>
    <m/>
    <x v="9"/>
  </r>
  <r>
    <s v="ORD-10088"/>
    <d v="2026-04-09T00:00:00"/>
    <x v="0"/>
    <s v="Jaipur"/>
    <x v="0"/>
    <s v="Individual"/>
    <s v="Smartphone"/>
    <x v="0"/>
    <n v="1"/>
    <n v="28500"/>
    <n v="0.08"/>
    <s v="Credit Card"/>
    <s v="Sneha Iyer"/>
    <x v="0"/>
    <n v="28500"/>
    <n v="2280"/>
    <n v="26220"/>
    <n v="2"/>
    <x v="9"/>
  </r>
  <r>
    <s v="ORD-10495"/>
    <d v="2026-04-10T00:00:00"/>
    <x v="2"/>
    <s v="Hyderabad"/>
    <x v="1"/>
    <s v="Individual"/>
    <s v="Smartphone"/>
    <x v="0"/>
    <n v="1"/>
    <n v="29380"/>
    <n v="0"/>
    <s v="UPI"/>
    <s v="Ananya Rao"/>
    <x v="0"/>
    <n v="29380"/>
    <n v="0"/>
    <n v="29380"/>
    <n v="4"/>
    <x v="9"/>
  </r>
  <r>
    <s v="ORD-10489"/>
    <d v="2026-04-10T00:00:00"/>
    <x v="0"/>
    <s v="Delhi"/>
    <x v="2"/>
    <s v="Individual"/>
    <s v="Tablet"/>
    <x v="0"/>
    <n v="2"/>
    <n v="21480"/>
    <n v="0.05"/>
    <s v="UPI"/>
    <s v="Ananya Rao"/>
    <x v="0"/>
    <n v="42960"/>
    <n v="2148"/>
    <n v="40812"/>
    <n v="4"/>
    <x v="9"/>
  </r>
  <r>
    <s v="ORD-10312"/>
    <d v="2026-04-10T00:00:00"/>
    <x v="1"/>
    <s v="Mumbai"/>
    <x v="1"/>
    <s v="Enterprise"/>
    <s v="Monitor"/>
    <x v="0"/>
    <n v="4"/>
    <n v="15490"/>
    <n v="0"/>
    <s v="Credit Card"/>
    <s v="Vikram Singh"/>
    <x v="0"/>
    <n v="61960"/>
    <n v="0"/>
    <n v="61960"/>
    <n v="5"/>
    <x v="9"/>
  </r>
  <r>
    <s v="ORD-10387"/>
    <d v="2026-04-11T00:00:00"/>
    <x v="2"/>
    <s v="Bengaluru"/>
    <x v="2"/>
    <s v="Enterprise"/>
    <s v="Smartphone"/>
    <x v="0"/>
    <n v="1"/>
    <n v="26260"/>
    <n v="0"/>
    <s v="Debit Card"/>
    <s v="Priya Nair"/>
    <x v="0"/>
    <n v="26260"/>
    <n v="0"/>
    <n v="26260"/>
    <n v="1"/>
    <x v="9"/>
  </r>
  <r>
    <s v="ORD-10073"/>
    <d v="2026-04-11T00:00:00"/>
    <x v="1"/>
    <s v="Mumbai"/>
    <x v="2"/>
    <s v="Individual"/>
    <s v="Office Desk"/>
    <x v="4"/>
    <n v="2"/>
    <n v="14910"/>
    <n v="0.05"/>
    <s v="UPI"/>
    <s v="Aarav Mehta"/>
    <x v="0"/>
    <n v="29820"/>
    <n v="1491"/>
    <n v="28329"/>
    <n v="2"/>
    <x v="9"/>
  </r>
  <r>
    <s v="ORD-10433"/>
    <d v="2026-04-11T00:00:00"/>
    <x v="2"/>
    <s v="Bengaluru"/>
    <x v="2"/>
    <s v="Individual"/>
    <s v="Smartphone"/>
    <x v="0"/>
    <n v="2"/>
    <n v="26100"/>
    <n v="0.05"/>
    <s v="Cash on Delivery"/>
    <s v="Aarav Mehta"/>
    <x v="0"/>
    <n v="52200"/>
    <n v="2610"/>
    <n v="49590"/>
    <n v="5"/>
    <x v="9"/>
  </r>
  <r>
    <s v="ORD-10150"/>
    <d v="2026-04-12T00:00:00"/>
    <x v="1"/>
    <s v="Surat"/>
    <x v="0"/>
    <s v="Small Business"/>
    <s v="Laptop"/>
    <x v="0"/>
    <n v="1"/>
    <n v="58540"/>
    <n v="0.05"/>
    <s v="Debit Card"/>
    <s v="Aarav Mehta"/>
    <x v="0"/>
    <n v="58540"/>
    <n v="2927"/>
    <n v="55613"/>
    <n v="3"/>
    <x v="9"/>
  </r>
  <r>
    <s v="ORD-10485"/>
    <d v="2026-04-12T00:00:00"/>
    <x v="2"/>
    <s v="Hyderabad"/>
    <x v="1"/>
    <s v="Enterprise"/>
    <s v="Webcam"/>
    <x v="1"/>
    <n v="3"/>
    <n v="3670"/>
    <n v="0.05"/>
    <s v="UPI"/>
    <s v="Neha Kapoor"/>
    <x v="0"/>
    <n v="11010"/>
    <n v="550.5"/>
    <n v="10459.5"/>
    <n v="2"/>
    <x v="9"/>
  </r>
  <r>
    <s v="ORD-10076"/>
    <d v="2026-04-13T00:00:00"/>
    <x v="0"/>
    <s v="Lucknow"/>
    <x v="0"/>
    <s v="Individual"/>
    <s v="Tablet"/>
    <x v="0"/>
    <n v="1"/>
    <n v="21550"/>
    <n v="0.15"/>
    <s v="Net Banking"/>
    <s v="Aarav Mehta"/>
    <x v="0"/>
    <n v="21550"/>
    <n v="3232.5"/>
    <n v="18317.5"/>
    <n v="4"/>
    <x v="9"/>
  </r>
  <r>
    <s v="ORD-10015"/>
    <d v="2026-04-13T00:00:00"/>
    <x v="2"/>
    <s v="Chennai"/>
    <x v="1"/>
    <s v="Individual"/>
    <s v="Office Desk"/>
    <x v="4"/>
    <n v="3"/>
    <n v="15040"/>
    <n v="0.05"/>
    <s v="Debit Card"/>
    <s v="Aarav Mehta"/>
    <x v="1"/>
    <n v="0"/>
    <n v="0"/>
    <n v="0"/>
    <m/>
    <x v="9"/>
  </r>
  <r>
    <s v="ORD-10206"/>
    <d v="2026-04-13T00:00:00"/>
    <x v="3"/>
    <s v="Bhubaneswar"/>
    <x v="0"/>
    <s v="Small Business"/>
    <s v="Keyboard"/>
    <x v="1"/>
    <n v="2"/>
    <n v="1910"/>
    <n v="0.08"/>
    <s v="UPI"/>
    <s v="Vikram Singh"/>
    <x v="0"/>
    <n v="3820"/>
    <n v="305.60000000000002"/>
    <n v="3514.4"/>
    <n v="4"/>
    <x v="9"/>
  </r>
  <r>
    <s v="ORD-10303"/>
    <d v="2026-04-15T00:00:00"/>
    <x v="3"/>
    <s v="Kolkata"/>
    <x v="0"/>
    <s v="Individual"/>
    <s v="Power Bank"/>
    <x v="1"/>
    <n v="1"/>
    <n v="1910"/>
    <n v="0.03"/>
    <s v="Debit Card"/>
    <s v="Neha Kapoor"/>
    <x v="0"/>
    <n v="1910"/>
    <n v="57.3"/>
    <n v="1852.7"/>
    <n v="1"/>
    <x v="9"/>
  </r>
  <r>
    <s v="ORD-10010"/>
    <d v="2026-04-16T00:00:00"/>
    <x v="0"/>
    <s v="Jaipur"/>
    <x v="1"/>
    <s v="Enterprise"/>
    <s v="Keyboard"/>
    <x v="1"/>
    <n v="1"/>
    <n v="1900"/>
    <n v="0.03"/>
    <s v="UPI"/>
    <s v="Neha Kapoor"/>
    <x v="0"/>
    <n v="1900"/>
    <n v="57"/>
    <n v="1843"/>
    <n v="1"/>
    <x v="9"/>
  </r>
  <r>
    <s v="ORD-10649"/>
    <d v="2026-04-17T00:00:00"/>
    <x v="1"/>
    <s v="Mumbai"/>
    <x v="1"/>
    <s v="Individual"/>
    <s v="Power Bank"/>
    <x v="1"/>
    <n v="2"/>
    <n v="1700"/>
    <n v="0.03"/>
    <s v="UPI"/>
    <s v="Vikram Singh"/>
    <x v="0"/>
    <n v="3400"/>
    <n v="102"/>
    <n v="3298"/>
    <n v="3"/>
    <x v="9"/>
  </r>
  <r>
    <s v="ORD-10646"/>
    <d v="2026-04-18T00:00:00"/>
    <x v="2"/>
    <s v="Kochi"/>
    <x v="1"/>
    <s v="Enterprise"/>
    <s v="Laptop"/>
    <x v="0"/>
    <n v="2"/>
    <n v="64230"/>
    <n v="0.05"/>
    <s v="Net Banking"/>
    <s v="Ananya Rao"/>
    <x v="0"/>
    <n v="128460"/>
    <n v="6423"/>
    <n v="122037"/>
    <n v="1"/>
    <x v="9"/>
  </r>
  <r>
    <s v="ORD-10506"/>
    <d v="2026-04-19T00:00:00"/>
    <x v="2"/>
    <s v="Bengaluru"/>
    <x v="0"/>
    <s v="Individual"/>
    <s v="Keyboard"/>
    <x v="1"/>
    <n v="4"/>
    <n v="1690"/>
    <n v="0"/>
    <s v="Net Banking"/>
    <s v="Ananya Rao"/>
    <x v="0"/>
    <n v="6760"/>
    <n v="0"/>
    <n v="6760"/>
    <n v="5"/>
    <x v="9"/>
  </r>
  <r>
    <s v="ORD-10602"/>
    <d v="2026-04-19T00:00:00"/>
    <x v="3"/>
    <s v="Kolkata"/>
    <x v="1"/>
    <s v="Individual"/>
    <s v="Wireless Headphones"/>
    <x v="0"/>
    <n v="2"/>
    <n v="3030"/>
    <n v="0.08"/>
    <s v="Credit Card"/>
    <s v="Aarav Mehta"/>
    <x v="0"/>
    <n v="6060"/>
    <n v="484.8"/>
    <n v="5575.2"/>
    <n v="7"/>
    <x v="9"/>
  </r>
  <r>
    <s v="ORD-10145"/>
    <d v="2026-04-19T00:00:00"/>
    <x v="0"/>
    <s v="Delhi"/>
    <x v="1"/>
    <s v="Individual"/>
    <s v="Monitor"/>
    <x v="0"/>
    <n v="3"/>
    <n v="17540"/>
    <n v="0.08"/>
    <s v="UPI"/>
    <s v="Sneha Iyer"/>
    <x v="0"/>
    <n v="52620"/>
    <n v="4209.6000000000004"/>
    <n v="48410.400000000001"/>
    <n v="3"/>
    <x v="9"/>
  </r>
  <r>
    <s v="ORD-10610"/>
    <d v="2026-04-21T00:00:00"/>
    <x v="2"/>
    <s v="Hyderabad"/>
    <x v="0"/>
    <s v="Individual"/>
    <s v="Office Chair"/>
    <x v="4"/>
    <n v="4"/>
    <n v="10990"/>
    <n v="0.1"/>
    <s v="Net Banking"/>
    <s v="Neha Kapoor"/>
    <x v="0"/>
    <n v="43960"/>
    <n v="4396"/>
    <n v="39564"/>
    <n v="2"/>
    <x v="9"/>
  </r>
  <r>
    <s v="ORD-10186"/>
    <d v="2026-04-21T00:00:00"/>
    <x v="2"/>
    <s v="Kochi"/>
    <x v="2"/>
    <s v="Individual"/>
    <s v="Webcam"/>
    <x v="1"/>
    <n v="1"/>
    <n v="3600"/>
    <n v="0.1"/>
    <s v="UPI"/>
    <s v="Ananya Rao"/>
    <x v="0"/>
    <n v="3600"/>
    <n v="360"/>
    <n v="3240"/>
    <n v="5"/>
    <x v="9"/>
  </r>
  <r>
    <s v="ORD-10027"/>
    <d v="2026-04-22T00:00:00"/>
    <x v="2"/>
    <s v="Bengaluru"/>
    <x v="1"/>
    <s v="Small Business"/>
    <s v="Mouse"/>
    <x v="1"/>
    <n v="1"/>
    <n v="900"/>
    <n v="0.05"/>
    <s v="UPI"/>
    <s v="Priya Nair"/>
    <x v="0"/>
    <n v="900"/>
    <n v="45"/>
    <n v="855"/>
    <n v="3"/>
    <x v="9"/>
  </r>
  <r>
    <s v="ORD-10401"/>
    <d v="2026-04-22T00:00:00"/>
    <x v="3"/>
    <s v="Kolkata"/>
    <x v="1"/>
    <s v="Small Business"/>
    <s v="Wireless Headphones"/>
    <x v="0"/>
    <n v="3"/>
    <n v="3380"/>
    <n v="0.1"/>
    <s v="Cash on Delivery"/>
    <s v="Rohan Sharma"/>
    <x v="0"/>
    <n v="10140"/>
    <n v="1014"/>
    <n v="9126"/>
    <n v="4"/>
    <x v="9"/>
  </r>
  <r>
    <s v="ORD-10593"/>
    <d v="2026-04-23T00:00:00"/>
    <x v="2"/>
    <s v="Kochi"/>
    <x v="2"/>
    <s v="Individual"/>
    <s v="Laptop"/>
    <x v="0"/>
    <n v="1"/>
    <n v="59620"/>
    <n v="0"/>
    <s v="UPI"/>
    <s v="Neha Kapoor"/>
    <x v="0"/>
    <n v="59620"/>
    <n v="0"/>
    <n v="59620"/>
    <n v="2"/>
    <x v="9"/>
  </r>
  <r>
    <s v="ORD-10218"/>
    <d v="2026-04-23T00:00:00"/>
    <x v="1"/>
    <s v="Mumbai"/>
    <x v="2"/>
    <s v="Enterprise"/>
    <s v="Mouse"/>
    <x v="1"/>
    <n v="1"/>
    <n v="960"/>
    <n v="0.08"/>
    <s v="Debit Card"/>
    <s v="Priya Nair"/>
    <x v="0"/>
    <n v="960"/>
    <n v="76.8"/>
    <n v="883.2"/>
    <n v="4"/>
    <x v="9"/>
  </r>
  <r>
    <s v="ORD-10413"/>
    <d v="2026-04-23T00:00:00"/>
    <x v="2"/>
    <s v="Kochi"/>
    <x v="0"/>
    <s v="Enterprise"/>
    <s v="Office Desk"/>
    <x v="4"/>
    <n v="2"/>
    <n v="15450"/>
    <n v="0.1"/>
    <s v="Net Banking"/>
    <s v="Priya Nair"/>
    <x v="0"/>
    <n v="30900"/>
    <n v="3090"/>
    <n v="27810"/>
    <n v="2"/>
    <x v="9"/>
  </r>
  <r>
    <s v="ORD-10371"/>
    <d v="2026-04-23T00:00:00"/>
    <x v="0"/>
    <s v="Noida"/>
    <x v="1"/>
    <s v="Small Business"/>
    <s v="External SSD"/>
    <x v="3"/>
    <n v="3"/>
    <n v="6860"/>
    <n v="0.1"/>
    <s v="Debit Card"/>
    <s v="Aarav Mehta"/>
    <x v="0"/>
    <n v="20580"/>
    <n v="2058"/>
    <n v="18522"/>
    <n v="3"/>
    <x v="9"/>
  </r>
  <r>
    <s v="ORD-10373"/>
    <d v="2026-04-24T00:00:00"/>
    <x v="2"/>
    <s v="Hyderabad"/>
    <x v="1"/>
    <s v="Individual"/>
    <s v="Monitor"/>
    <x v="0"/>
    <n v="3"/>
    <n v="16090"/>
    <n v="0.03"/>
    <s v="Credit Card"/>
    <s v="Sneha Iyer"/>
    <x v="0"/>
    <n v="48270"/>
    <n v="1448.1"/>
    <n v="46821.9"/>
    <n v="3"/>
    <x v="9"/>
  </r>
  <r>
    <s v="ORD-10635"/>
    <d v="2026-04-25T00:00:00"/>
    <x v="2"/>
    <s v="Hyderabad"/>
    <x v="1"/>
    <s v="Individual"/>
    <s v="Monitor"/>
    <x v="0"/>
    <n v="1"/>
    <n v="17400"/>
    <n v="0"/>
    <s v="Net Banking"/>
    <s v="Neha Kapoor"/>
    <x v="0"/>
    <n v="17400"/>
    <n v="0"/>
    <n v="17400"/>
    <n v="1"/>
    <x v="9"/>
  </r>
  <r>
    <s v="ORD-10415"/>
    <d v="2026-04-25T00:00:00"/>
    <x v="1"/>
    <s v="Surat"/>
    <x v="1"/>
    <s v="Individual"/>
    <s v="Office Chair"/>
    <x v="4"/>
    <n v="4"/>
    <n v="11210"/>
    <n v="0.08"/>
    <s v="UPI"/>
    <s v="Karan Patel"/>
    <x v="0"/>
    <n v="44840"/>
    <n v="3587.2"/>
    <n v="41252.800000000003"/>
    <n v="4"/>
    <x v="9"/>
  </r>
  <r>
    <s v="ORD-10484"/>
    <d v="2026-04-26T00:00:00"/>
    <x v="2"/>
    <s v="Bengaluru"/>
    <x v="0"/>
    <s v="Small Business"/>
    <s v="Power Bank"/>
    <x v="1"/>
    <n v="1"/>
    <n v="1900"/>
    <n v="0"/>
    <s v="UPI"/>
    <s v="Ananya Rao"/>
    <x v="0"/>
    <n v="1900"/>
    <n v="0"/>
    <n v="1900"/>
    <n v="6"/>
    <x v="9"/>
  </r>
  <r>
    <s v="ORD-10460"/>
    <d v="2026-04-27T00:00:00"/>
    <x v="0"/>
    <s v="Lucknow"/>
    <x v="0"/>
    <s v="Individual"/>
    <s v="Monitor"/>
    <x v="0"/>
    <n v="1"/>
    <n v="15910"/>
    <n v="0.05"/>
    <s v="Debit Card"/>
    <s v="Neha Kapoor"/>
    <x v="0"/>
    <n v="15910"/>
    <n v="795.5"/>
    <n v="15114.5"/>
    <n v="4"/>
    <x v="9"/>
  </r>
  <r>
    <s v="ORD-10078"/>
    <d v="2026-04-27T00:00:00"/>
    <x v="2"/>
    <s v="Hyderabad"/>
    <x v="1"/>
    <s v="Individual"/>
    <s v="Tablet"/>
    <x v="0"/>
    <n v="2"/>
    <n v="22690"/>
    <n v="0.03"/>
    <s v="Credit Card"/>
    <s v="Sneha Iyer"/>
    <x v="0"/>
    <n v="45380"/>
    <n v="1361.4"/>
    <n v="44018.6"/>
    <n v="3"/>
    <x v="9"/>
  </r>
  <r>
    <s v="ORD-10390"/>
    <d v="2026-04-27T00:00:00"/>
    <x v="0"/>
    <s v="Noida"/>
    <x v="2"/>
    <s v="Small Business"/>
    <s v="Wireless Headphones"/>
    <x v="0"/>
    <n v="2"/>
    <n v="3100"/>
    <n v="0"/>
    <s v="Net Banking"/>
    <s v="Vikram Singh"/>
    <x v="0"/>
    <n v="6200"/>
    <n v="0"/>
    <n v="6200"/>
    <n v="2"/>
    <x v="9"/>
  </r>
  <r>
    <s v="ORD-10611"/>
    <d v="2026-04-28T00:00:00"/>
    <x v="2"/>
    <s v="Hyderabad"/>
    <x v="2"/>
    <s v="Individual"/>
    <s v="Smartphone"/>
    <x v="0"/>
    <n v="2"/>
    <n v="26190"/>
    <n v="0.08"/>
    <s v="Cash on Delivery"/>
    <s v="Vikram Singh"/>
    <x v="0"/>
    <n v="52380"/>
    <n v="4190.3999999999996"/>
    <n v="48189.599999999999"/>
    <n v="4"/>
    <x v="9"/>
  </r>
  <r>
    <s v="ORD-10154"/>
    <d v="2026-04-28T00:00:00"/>
    <x v="2"/>
    <s v="Bengaluru"/>
    <x v="0"/>
    <s v="Individual"/>
    <s v="External SSD"/>
    <x v="3"/>
    <n v="3"/>
    <n v="6780"/>
    <n v="0.05"/>
    <s v="Debit Card"/>
    <s v="Neha Kapoor"/>
    <x v="0"/>
    <n v="20340"/>
    <n v="1017"/>
    <n v="19323"/>
    <n v="2"/>
    <x v="9"/>
  </r>
  <r>
    <s v="ORD-10603"/>
    <d v="2026-04-29T00:00:00"/>
    <x v="2"/>
    <s v="Chennai"/>
    <x v="1"/>
    <s v="Enterprise"/>
    <s v="Monitor"/>
    <x v="0"/>
    <n v="2"/>
    <n v="17070"/>
    <n v="0"/>
    <s v="Credit Card"/>
    <s v="Karan Patel"/>
    <x v="0"/>
    <n v="34140"/>
    <n v="0"/>
    <n v="34140"/>
    <n v="3"/>
    <x v="9"/>
  </r>
  <r>
    <s v="ORD-10093"/>
    <d v="2026-04-30T00:00:00"/>
    <x v="0"/>
    <s v="Noida"/>
    <x v="0"/>
    <s v="Individual"/>
    <s v="Mouse"/>
    <x v="1"/>
    <n v="2"/>
    <n v="960"/>
    <n v="0"/>
    <s v="Net Banking"/>
    <s v="Priya Nair"/>
    <x v="0"/>
    <n v="1920"/>
    <n v="0"/>
    <n v="1920"/>
    <n v="3"/>
    <x v="9"/>
  </r>
  <r>
    <s v="ORD-10636"/>
    <d v="2026-05-01T00:00:00"/>
    <x v="1"/>
    <s v="Pune"/>
    <x v="2"/>
    <s v="Small Business"/>
    <s v="Office Desk"/>
    <x v="4"/>
    <n v="1"/>
    <n v="15390"/>
    <n v="0.08"/>
    <s v="UPI"/>
    <s v="Priya Nair"/>
    <x v="0"/>
    <n v="15390"/>
    <n v="1231.2"/>
    <n v="14158.8"/>
    <n v="3"/>
    <x v="10"/>
  </r>
  <r>
    <s v="ORD-10064"/>
    <d v="2026-05-02T00:00:00"/>
    <x v="2"/>
    <s v="Hyderabad"/>
    <x v="1"/>
    <s v="Small Business"/>
    <s v="Power Bank"/>
    <x v="1"/>
    <n v="1"/>
    <n v="1680"/>
    <n v="0"/>
    <s v="Credit Card"/>
    <s v="Vikram Singh"/>
    <x v="0"/>
    <n v="1680"/>
    <n v="0"/>
    <n v="1680"/>
    <n v="2"/>
    <x v="10"/>
  </r>
  <r>
    <s v="ORD-10162"/>
    <d v="2026-05-02T00:00:00"/>
    <x v="2"/>
    <s v="Hyderabad"/>
    <x v="0"/>
    <s v="Individual"/>
    <s v="External SSD"/>
    <x v="3"/>
    <n v="1"/>
    <n v="7400"/>
    <n v="0"/>
    <s v="Credit Card"/>
    <s v="Neha Kapoor"/>
    <x v="0"/>
    <n v="7400"/>
    <n v="0"/>
    <n v="7400"/>
    <n v="1"/>
    <x v="10"/>
  </r>
  <r>
    <s v="ORD-10225"/>
    <d v="2026-05-03T00:00:00"/>
    <x v="2"/>
    <s v="Kochi"/>
    <x v="0"/>
    <s v="Small Business"/>
    <s v="Mouse"/>
    <x v="1"/>
    <n v="2"/>
    <n v="1010"/>
    <n v="0.05"/>
    <s v="UPI"/>
    <s v="Ananya Rao"/>
    <x v="0"/>
    <n v="2020"/>
    <n v="101"/>
    <n v="1919"/>
    <n v="2"/>
    <x v="10"/>
  </r>
  <r>
    <s v="ORD-10481"/>
    <d v="2026-05-04T00:00:00"/>
    <x v="2"/>
    <s v="Hyderabad"/>
    <x v="1"/>
    <s v="Individual"/>
    <s v="Backpack"/>
    <x v="1"/>
    <n v="3"/>
    <n v="2300"/>
    <n v="0.05"/>
    <s v="UPI"/>
    <s v="Neha Kapoor"/>
    <x v="0"/>
    <n v="6900"/>
    <n v="345"/>
    <n v="6555"/>
    <n v="4"/>
    <x v="10"/>
  </r>
  <r>
    <s v="ORD-10114"/>
    <d v="2026-05-05T00:00:00"/>
    <x v="0"/>
    <s v="Delhi"/>
    <x v="2"/>
    <s v="Individual"/>
    <s v="Webcam"/>
    <x v="1"/>
    <n v="3"/>
    <n v="3690"/>
    <n v="0"/>
    <s v="Credit Card"/>
    <s v="Rohan Sharma"/>
    <x v="0"/>
    <n v="11070"/>
    <n v="0"/>
    <n v="11070"/>
    <n v="3"/>
    <x v="10"/>
  </r>
  <r>
    <s v="ORD-10351"/>
    <d v="2026-05-05T00:00:00"/>
    <x v="2"/>
    <s v="Hyderabad"/>
    <x v="2"/>
    <s v="Individual"/>
    <s v="Monitor"/>
    <x v="0"/>
    <n v="2"/>
    <n v="16850"/>
    <n v="0.15"/>
    <s v="Credit Card"/>
    <s v="Rohan Sharma"/>
    <x v="0"/>
    <n v="33700"/>
    <n v="5055"/>
    <n v="28645"/>
    <n v="1"/>
    <x v="10"/>
  </r>
  <r>
    <s v="ORD-10212"/>
    <d v="2026-05-05T00:00:00"/>
    <x v="1"/>
    <s v="Ahmedabad"/>
    <x v="0"/>
    <s v="Enterprise"/>
    <s v="Mouse"/>
    <x v="1"/>
    <n v="3"/>
    <n v="920"/>
    <n v="0.03"/>
    <s v="Credit Card"/>
    <s v="Vikram Singh"/>
    <x v="0"/>
    <n v="2760"/>
    <n v="82.8"/>
    <n v="2677.2"/>
    <n v="2"/>
    <x v="10"/>
  </r>
  <r>
    <s v="ORD-10427"/>
    <d v="2026-05-05T00:00:00"/>
    <x v="2"/>
    <s v="Bengaluru"/>
    <x v="0"/>
    <s v="Small Business"/>
    <s v="Keyboard"/>
    <x v="1"/>
    <n v="1"/>
    <n v="1730"/>
    <n v="0.1"/>
    <s v="Credit Card"/>
    <s v="Priya Nair"/>
    <x v="0"/>
    <n v="1730"/>
    <n v="173"/>
    <n v="1557"/>
    <n v="3"/>
    <x v="10"/>
  </r>
  <r>
    <s v="ORD-10125"/>
    <d v="2026-05-06T00:00:00"/>
    <x v="3"/>
    <s v="Kolkata"/>
    <x v="0"/>
    <s v="Small Business"/>
    <s v="Smartphone"/>
    <x v="0"/>
    <n v="2"/>
    <n v="28040"/>
    <n v="0.03"/>
    <s v="Credit Card"/>
    <s v="Vikram Singh"/>
    <x v="0"/>
    <n v="56080"/>
    <n v="1682.4"/>
    <n v="54397.599999999999"/>
    <n v="1"/>
    <x v="10"/>
  </r>
  <r>
    <s v="ORD-10338"/>
    <d v="2026-05-06T00:00:00"/>
    <x v="3"/>
    <s v="Bhubaneswar"/>
    <x v="1"/>
    <s v="Individual"/>
    <s v="Smartphone"/>
    <x v="0"/>
    <n v="1"/>
    <n v="28860"/>
    <n v="0.05"/>
    <s v="UPI"/>
    <s v="Vikram Singh"/>
    <x v="0"/>
    <n v="28860"/>
    <n v="1443"/>
    <n v="27417"/>
    <n v="3"/>
    <x v="10"/>
  </r>
  <r>
    <s v="ORD-10501"/>
    <d v="2026-05-07T00:00:00"/>
    <x v="0"/>
    <s v="Lucknow"/>
    <x v="0"/>
    <s v="Individual"/>
    <s v="Laptop"/>
    <x v="0"/>
    <n v="3"/>
    <n v="65560"/>
    <n v="0"/>
    <s v="Debit Card"/>
    <s v="Neha Kapoor"/>
    <x v="0"/>
    <n v="196680"/>
    <n v="0"/>
    <n v="196680"/>
    <n v="1"/>
    <x v="10"/>
  </r>
  <r>
    <s v="ORD-10374"/>
    <d v="2026-05-07T00:00:00"/>
    <x v="1"/>
    <s v="Surat"/>
    <x v="1"/>
    <s v="Individual"/>
    <s v="Monitor"/>
    <x v="0"/>
    <n v="2"/>
    <n v="17430"/>
    <n v="0.1"/>
    <s v="Cash on Delivery"/>
    <s v="Ananya Rao"/>
    <x v="0"/>
    <n v="34860"/>
    <n v="3486"/>
    <n v="31374"/>
    <n v="2"/>
    <x v="10"/>
  </r>
  <r>
    <s v="ORD-10641"/>
    <d v="2026-05-07T00:00:00"/>
    <x v="2"/>
    <s v="Hyderabad"/>
    <x v="0"/>
    <s v="Small Business"/>
    <s v="Laptop"/>
    <x v="0"/>
    <n v="2"/>
    <n v="59770"/>
    <n v="0.05"/>
    <s v="Debit Card"/>
    <s v="Vikram Singh"/>
    <x v="0"/>
    <n v="119540"/>
    <n v="5977"/>
    <n v="113563"/>
    <n v="2"/>
    <x v="10"/>
  </r>
  <r>
    <s v="ORD-10211"/>
    <d v="2026-05-07T00:00:00"/>
    <x v="1"/>
    <s v="Surat"/>
    <x v="1"/>
    <s v="Individual"/>
    <s v="Tablet"/>
    <x v="0"/>
    <n v="4"/>
    <n v="21080"/>
    <n v="0.05"/>
    <s v="Debit Card"/>
    <s v="Sneha Iyer"/>
    <x v="0"/>
    <n v="84320"/>
    <n v="4216"/>
    <n v="80104"/>
    <n v="3"/>
    <x v="10"/>
  </r>
  <r>
    <s v="ORD-10607"/>
    <d v="2026-05-07T00:00:00"/>
    <x v="2"/>
    <s v="Kochi"/>
    <x v="0"/>
    <s v="Small Business"/>
    <s v="Mouse"/>
    <x v="1"/>
    <n v="4"/>
    <n v="910"/>
    <n v="0"/>
    <s v="UPI"/>
    <s v="Neha Kapoor"/>
    <x v="0"/>
    <n v="3640"/>
    <n v="0"/>
    <n v="3640"/>
    <n v="6"/>
    <x v="10"/>
  </r>
  <r>
    <s v="ORD-10210"/>
    <d v="2026-05-09T00:00:00"/>
    <x v="0"/>
    <s v="Noida"/>
    <x v="1"/>
    <s v="Enterprise"/>
    <s v="Webcam"/>
    <x v="1"/>
    <n v="1"/>
    <n v="3800"/>
    <n v="0.05"/>
    <s v="Debit Card"/>
    <s v="Priya Nair"/>
    <x v="0"/>
    <n v="3800"/>
    <n v="190"/>
    <n v="3610"/>
    <n v="5"/>
    <x v="10"/>
  </r>
  <r>
    <s v="ORD-10425"/>
    <d v="2026-05-09T00:00:00"/>
    <x v="2"/>
    <s v="Kochi"/>
    <x v="1"/>
    <s v="Small Business"/>
    <s v="Smartphone"/>
    <x v="0"/>
    <n v="3"/>
    <n v="29430"/>
    <n v="0.15"/>
    <s v="Credit Card"/>
    <s v="Vikram Singh"/>
    <x v="0"/>
    <n v="88290"/>
    <n v="13243.5"/>
    <n v="75046.5"/>
    <n v="3"/>
    <x v="10"/>
  </r>
  <r>
    <s v="ORD-10116"/>
    <d v="2026-05-11T00:00:00"/>
    <x v="2"/>
    <s v="Kochi"/>
    <x v="1"/>
    <s v="Enterprise"/>
    <s v="Keyboard"/>
    <x v="1"/>
    <n v="1"/>
    <n v="1860"/>
    <n v="0.05"/>
    <s v="Credit Card"/>
    <s v="Karan Patel"/>
    <x v="0"/>
    <n v="1860"/>
    <n v="93"/>
    <n v="1767"/>
    <n v="3"/>
    <x v="10"/>
  </r>
  <r>
    <s v="ORD-10192"/>
    <d v="2026-05-11T00:00:00"/>
    <x v="2"/>
    <s v="Kochi"/>
    <x v="0"/>
    <s v="Individual"/>
    <s v="Office Desk"/>
    <x v="4"/>
    <n v="5"/>
    <n v="14460"/>
    <n v="0.03"/>
    <s v="Net Banking"/>
    <s v="Vikram Singh"/>
    <x v="0"/>
    <n v="72300"/>
    <n v="2169"/>
    <n v="70131"/>
    <n v="1"/>
    <x v="10"/>
  </r>
  <r>
    <s v="ORD-10242"/>
    <d v="2026-05-12T00:00:00"/>
    <x v="2"/>
    <s v="Hyderabad"/>
    <x v="1"/>
    <s v="Individual"/>
    <s v="Tablet"/>
    <x v="0"/>
    <n v="2"/>
    <n v="20620"/>
    <n v="0.03"/>
    <s v="Net Banking"/>
    <s v="Neha Kapoor"/>
    <x v="0"/>
    <n v="41240"/>
    <n v="1237.2"/>
    <n v="40002.800000000003"/>
    <n v="1"/>
    <x v="10"/>
  </r>
  <r>
    <s v="ORD-10392"/>
    <d v="2026-05-13T00:00:00"/>
    <x v="1"/>
    <s v="Pune"/>
    <x v="2"/>
    <s v="Individual"/>
    <s v="Wireless Headphones"/>
    <x v="0"/>
    <n v="5"/>
    <n v="3200"/>
    <n v="0.03"/>
    <s v="Net Banking"/>
    <s v="Ananya Rao"/>
    <x v="0"/>
    <n v="16000"/>
    <n v="480"/>
    <n v="15520"/>
    <n v="2"/>
    <x v="10"/>
  </r>
  <r>
    <s v="ORD-10341"/>
    <d v="2026-05-14T00:00:00"/>
    <x v="2"/>
    <s v="Kochi"/>
    <x v="1"/>
    <s v="Individual"/>
    <s v="Monitor"/>
    <x v="0"/>
    <n v="4"/>
    <n v="16780"/>
    <n v="0.08"/>
    <s v="Credit Card"/>
    <s v="Sneha Iyer"/>
    <x v="0"/>
    <n v="67120"/>
    <n v="5369.6"/>
    <n v="61750.400000000001"/>
    <n v="5"/>
    <x v="10"/>
  </r>
  <r>
    <s v="ORD-10272"/>
    <d v="2026-05-14T00:00:00"/>
    <x v="1"/>
    <s v="Surat"/>
    <x v="1"/>
    <s v="Individual"/>
    <s v="Laptop"/>
    <x v="0"/>
    <n v="5"/>
    <n v="61610"/>
    <n v="0.03"/>
    <s v="Credit Card"/>
    <s v="Karan Patel"/>
    <x v="0"/>
    <n v="308050"/>
    <n v="9241.5"/>
    <n v="298808.5"/>
    <n v="2"/>
    <x v="10"/>
  </r>
  <r>
    <s v="ORD-10069"/>
    <d v="2026-05-15T00:00:00"/>
    <x v="2"/>
    <s v="Chennai"/>
    <x v="0"/>
    <s v="Enterprise"/>
    <s v="Office Chair"/>
    <x v="4"/>
    <n v="4"/>
    <n v="11220"/>
    <n v="0.05"/>
    <s v="Debit Card"/>
    <s v="Rohan Sharma"/>
    <x v="0"/>
    <n v="44880"/>
    <n v="2244"/>
    <n v="42636"/>
    <n v="4"/>
    <x v="10"/>
  </r>
  <r>
    <s v="ORD-10487"/>
    <d v="2026-05-15T00:00:00"/>
    <x v="0"/>
    <s v="Lucknow"/>
    <x v="0"/>
    <s v="Individual"/>
    <s v="Wireless Headphones"/>
    <x v="0"/>
    <n v="2"/>
    <n v="3180"/>
    <n v="0.1"/>
    <s v="Net Banking"/>
    <s v="Rohan Sharma"/>
    <x v="0"/>
    <n v="6360"/>
    <n v="636"/>
    <n v="5724"/>
    <n v="1"/>
    <x v="10"/>
  </r>
  <r>
    <s v="ORD-10403"/>
    <d v="2026-05-15T00:00:00"/>
    <x v="0"/>
    <s v="Jaipur"/>
    <x v="0"/>
    <s v="Individual"/>
    <s v="Mouse"/>
    <x v="1"/>
    <n v="3"/>
    <n v="990"/>
    <n v="0.05"/>
    <s v="Net Banking"/>
    <s v="Karan Patel"/>
    <x v="0"/>
    <n v="2970"/>
    <n v="148.5"/>
    <n v="2821.5"/>
    <n v="2"/>
    <x v="10"/>
  </r>
  <r>
    <s v="ORD-10496"/>
    <d v="2026-05-16T00:00:00"/>
    <x v="1"/>
    <s v="Mumbai"/>
    <x v="0"/>
    <s v="Individual"/>
    <s v="Office Chair"/>
    <x v="4"/>
    <n v="4"/>
    <n v="11710"/>
    <n v="0.05"/>
    <s v="Credit Card"/>
    <s v="Priya Nair"/>
    <x v="0"/>
    <n v="46840"/>
    <n v="2342"/>
    <n v="44498"/>
    <n v="4"/>
    <x v="10"/>
  </r>
  <r>
    <s v="ORD-10228"/>
    <d v="2026-05-16T00:00:00"/>
    <x v="0"/>
    <s v="Jaipur"/>
    <x v="2"/>
    <s v="Individual"/>
    <s v="Office Desk"/>
    <x v="4"/>
    <n v="2"/>
    <n v="15510"/>
    <n v="0.03"/>
    <s v="Debit Card"/>
    <s v="Rohan Sharma"/>
    <x v="0"/>
    <n v="31020"/>
    <n v="930.6"/>
    <n v="30089.4"/>
    <n v="7"/>
    <x v="10"/>
  </r>
  <r>
    <s v="ORD-10331"/>
    <d v="2026-05-17T00:00:00"/>
    <x v="0"/>
    <s v="Noida"/>
    <x v="0"/>
    <s v="Individual"/>
    <s v="Tablet"/>
    <x v="0"/>
    <n v="1"/>
    <n v="22250"/>
    <n v="0.08"/>
    <s v="Credit Card"/>
    <s v="Vikram Singh"/>
    <x v="0"/>
    <n v="22250"/>
    <n v="1780"/>
    <n v="20470"/>
    <n v="2"/>
    <x v="10"/>
  </r>
  <r>
    <s v="ORD-10605"/>
    <d v="2026-05-17T00:00:00"/>
    <x v="1"/>
    <s v="Pune"/>
    <x v="0"/>
    <s v="Individual"/>
    <s v="Mouse"/>
    <x v="1"/>
    <n v="1"/>
    <n v="880"/>
    <n v="0.1"/>
    <s v="Debit Card"/>
    <s v="Priya Nair"/>
    <x v="0"/>
    <n v="880"/>
    <n v="88"/>
    <n v="792"/>
    <n v="1"/>
    <x v="10"/>
  </r>
  <r>
    <s v="ORD-10406"/>
    <d v="2026-05-18T00:00:00"/>
    <x v="2"/>
    <s v="Hyderabad"/>
    <x v="0"/>
    <s v="Individual"/>
    <s v="Power Bank"/>
    <x v="1"/>
    <n v="1"/>
    <n v="1850"/>
    <n v="0.05"/>
    <s v="Cash on Delivery"/>
    <s v="Vikram Singh"/>
    <x v="2"/>
    <n v="1850"/>
    <n v="92.5"/>
    <n v="1757.5"/>
    <n v="2"/>
    <x v="10"/>
  </r>
  <r>
    <s v="ORD-10039"/>
    <d v="2026-05-18T00:00:00"/>
    <x v="2"/>
    <s v="Kochi"/>
    <x v="0"/>
    <s v="Individual"/>
    <s v="Smartphone"/>
    <x v="0"/>
    <n v="2"/>
    <n v="28470"/>
    <n v="0.08"/>
    <s v="Debit Card"/>
    <s v="Neha Kapoor"/>
    <x v="0"/>
    <n v="56940"/>
    <n v="4555.2"/>
    <n v="52384.800000000003"/>
    <n v="2"/>
    <x v="10"/>
  </r>
  <r>
    <s v="ORD-10074"/>
    <d v="2026-05-18T00:00:00"/>
    <x v="1"/>
    <s v="Surat"/>
    <x v="0"/>
    <s v="Individual"/>
    <s v="Office Chair"/>
    <x v="4"/>
    <n v="1"/>
    <n v="11610"/>
    <n v="0.05"/>
    <s v="Credit Card"/>
    <s v="Aarav Mehta"/>
    <x v="0"/>
    <n v="11610"/>
    <n v="580.5"/>
    <n v="11029.5"/>
    <n v="2"/>
    <x v="10"/>
  </r>
  <r>
    <s v="ORD-10205"/>
    <d v="2026-05-20T00:00:00"/>
    <x v="2"/>
    <s v="Hyderabad"/>
    <x v="1"/>
    <s v="Enterprise"/>
    <s v="Monitor"/>
    <x v="0"/>
    <n v="3"/>
    <n v="15470"/>
    <n v="0.05"/>
    <s v="UPI"/>
    <s v="Rohan Sharma"/>
    <x v="0"/>
    <n v="46410"/>
    <n v="2320.5"/>
    <n v="44089.5"/>
    <n v="2"/>
    <x v="10"/>
  </r>
  <r>
    <s v="ORD-10479"/>
    <d v="2026-05-21T00:00:00"/>
    <x v="3"/>
    <s v="Guwahati"/>
    <x v="1"/>
    <s v="Individual"/>
    <s v="Laptop"/>
    <x v="0"/>
    <n v="4"/>
    <n v="63490"/>
    <n v="0.1"/>
    <s v="UPI"/>
    <s v="Karan Patel"/>
    <x v="0"/>
    <n v="253960"/>
    <n v="25396"/>
    <n v="228564"/>
    <n v="2"/>
    <x v="10"/>
  </r>
  <r>
    <s v="ORD-10423"/>
    <d v="2026-05-21T00:00:00"/>
    <x v="0"/>
    <s v="Lucknow"/>
    <x v="1"/>
    <s v="Enterprise"/>
    <s v="Keyboard"/>
    <x v="1"/>
    <n v="1"/>
    <n v="1830"/>
    <n v="0.05"/>
    <s v="Debit Card"/>
    <s v="Priya Nair"/>
    <x v="0"/>
    <n v="1830"/>
    <n v="91.5"/>
    <n v="1738.5"/>
    <n v="2"/>
    <x v="10"/>
  </r>
  <r>
    <s v="ORD-10329"/>
    <d v="2026-05-21T00:00:00"/>
    <x v="0"/>
    <s v="Lucknow"/>
    <x v="2"/>
    <s v="Enterprise"/>
    <s v="External SSD"/>
    <x v="3"/>
    <n v="1"/>
    <n v="6860"/>
    <n v="0"/>
    <s v="Debit Card"/>
    <s v="Aarav Mehta"/>
    <x v="0"/>
    <n v="6860"/>
    <n v="0"/>
    <n v="6860"/>
    <n v="2"/>
    <x v="10"/>
  </r>
  <r>
    <s v="ORD-10024"/>
    <d v="2026-05-22T00:00:00"/>
    <x v="1"/>
    <s v="Surat"/>
    <x v="0"/>
    <s v="Individual"/>
    <s v="Monitor"/>
    <x v="0"/>
    <n v="2"/>
    <n v="17640"/>
    <n v="0"/>
    <s v="Credit Card"/>
    <s v="Sneha Iyer"/>
    <x v="0"/>
    <n v="35280"/>
    <n v="0"/>
    <n v="35280"/>
    <n v="3"/>
    <x v="10"/>
  </r>
  <r>
    <s v="ORD-10538"/>
    <d v="2026-05-22T00:00:00"/>
    <x v="0"/>
    <s v="Delhi"/>
    <x v="1"/>
    <s v="Small Business"/>
    <s v="Mouse"/>
    <x v="1"/>
    <n v="1"/>
    <n v="990"/>
    <n v="0"/>
    <s v="Credit Card"/>
    <s v="Rohan Sharma"/>
    <x v="0"/>
    <n v="990"/>
    <n v="0"/>
    <n v="990"/>
    <n v="3"/>
    <x v="10"/>
  </r>
  <r>
    <s v="ORD-10389"/>
    <d v="2026-05-23T00:00:00"/>
    <x v="3"/>
    <s v="Kolkata"/>
    <x v="2"/>
    <s v="Individual"/>
    <s v="Webcam"/>
    <x v="1"/>
    <n v="1"/>
    <n v="3520"/>
    <n v="0.1"/>
    <s v="UPI"/>
    <s v="Ananya Rao"/>
    <x v="0"/>
    <n v="3520"/>
    <n v="352"/>
    <n v="3168"/>
    <n v="3"/>
    <x v="10"/>
  </r>
  <r>
    <s v="ORD-10209"/>
    <d v="2026-05-24T00:00:00"/>
    <x v="0"/>
    <s v="Jaipur"/>
    <x v="2"/>
    <s v="Enterprise"/>
    <s v="Mouse"/>
    <x v="1"/>
    <n v="4"/>
    <n v="1000"/>
    <n v="0.08"/>
    <s v="UPI"/>
    <s v="Neha Kapoor"/>
    <x v="0"/>
    <n v="4000"/>
    <n v="320"/>
    <n v="3680"/>
    <n v="7"/>
    <x v="10"/>
  </r>
  <r>
    <s v="ORD-10429"/>
    <d v="2026-05-24T00:00:00"/>
    <x v="2"/>
    <s v="Kochi"/>
    <x v="2"/>
    <s v="Enterprise"/>
    <s v="Monitor"/>
    <x v="0"/>
    <n v="5"/>
    <n v="17540"/>
    <n v="0.03"/>
    <s v="Credit Card"/>
    <s v="Vikram Singh"/>
    <x v="1"/>
    <n v="0"/>
    <n v="0"/>
    <n v="0"/>
    <m/>
    <x v="10"/>
  </r>
  <r>
    <s v="ORD-10252"/>
    <d v="2026-05-25T00:00:00"/>
    <x v="2"/>
    <s v="Bengaluru"/>
    <x v="0"/>
    <s v="Individual"/>
    <s v="Webcam"/>
    <x v="1"/>
    <n v="2"/>
    <n v="3650"/>
    <n v="0.15"/>
    <s v="UPI"/>
    <s v="Sneha Iyer"/>
    <x v="0"/>
    <n v="7300"/>
    <n v="1095"/>
    <n v="6205"/>
    <n v="6"/>
    <x v="10"/>
  </r>
  <r>
    <s v="ORD-10006"/>
    <d v="2026-05-25T00:00:00"/>
    <x v="3"/>
    <s v="Guwahati"/>
    <x v="0"/>
    <s v="Individual"/>
    <s v="Printer"/>
    <x v="2"/>
    <n v="2"/>
    <n v="11790"/>
    <n v="0.1"/>
    <s v="UPI"/>
    <s v="Priya Nair"/>
    <x v="0"/>
    <n v="23580"/>
    <n v="2358"/>
    <n v="21222"/>
    <n v="6"/>
    <x v="10"/>
  </r>
  <r>
    <s v="ORD-10319"/>
    <d v="2026-05-25T00:00:00"/>
    <x v="2"/>
    <s v="Hyderabad"/>
    <x v="0"/>
    <s v="Small Business"/>
    <s v="Mouse"/>
    <x v="1"/>
    <n v="1"/>
    <n v="970"/>
    <n v="0"/>
    <s v="UPI"/>
    <s v="Ananya Rao"/>
    <x v="0"/>
    <n v="970"/>
    <n v="0"/>
    <n v="970"/>
    <n v="5"/>
    <x v="10"/>
  </r>
  <r>
    <s v="ORD-10250"/>
    <d v="2026-05-26T00:00:00"/>
    <x v="3"/>
    <s v="Kolkata"/>
    <x v="0"/>
    <s v="Small Business"/>
    <s v="Laptop"/>
    <x v="0"/>
    <n v="3"/>
    <n v="64180"/>
    <n v="0.05"/>
    <s v="Cash on Delivery"/>
    <s v="Vikram Singh"/>
    <x v="0"/>
    <n v="192540"/>
    <n v="9627"/>
    <n v="182913"/>
    <n v="4"/>
    <x v="10"/>
  </r>
  <r>
    <s v="ORD-10640"/>
    <d v="2026-05-26T00:00:00"/>
    <x v="3"/>
    <s v="Bhubaneswar"/>
    <x v="0"/>
    <s v="Individual"/>
    <s v="Office Chair"/>
    <x v="4"/>
    <n v="2"/>
    <n v="11120"/>
    <n v="0.08"/>
    <s v="UPI"/>
    <s v="Ananya Rao"/>
    <x v="0"/>
    <n v="22240"/>
    <n v="1779.2"/>
    <n v="20460.8"/>
    <n v="3"/>
    <x v="10"/>
  </r>
  <r>
    <s v="ORD-10037"/>
    <d v="2026-05-27T00:00:00"/>
    <x v="1"/>
    <s v="Ahmedabad"/>
    <x v="0"/>
    <s v="Small Business"/>
    <s v="Wireless Headphones"/>
    <x v="0"/>
    <n v="3"/>
    <n v="3040"/>
    <n v="0.05"/>
    <s v="Net Banking"/>
    <s v="Ananya Rao"/>
    <x v="0"/>
    <n v="9120"/>
    <n v="456"/>
    <n v="8664"/>
    <n v="2"/>
    <x v="10"/>
  </r>
  <r>
    <s v="ORD-10343"/>
    <d v="2026-05-27T00:00:00"/>
    <x v="0"/>
    <s v="Delhi"/>
    <x v="1"/>
    <s v="Small Business"/>
    <s v="Wireless Headphones"/>
    <x v="0"/>
    <n v="2"/>
    <n v="3150"/>
    <n v="0.05"/>
    <s v="UPI"/>
    <s v="Aarav Mehta"/>
    <x v="0"/>
    <n v="6300"/>
    <n v="315"/>
    <n v="5985"/>
    <n v="2"/>
    <x v="10"/>
  </r>
  <r>
    <s v="ORD-10203"/>
    <d v="2026-05-27T00:00:00"/>
    <x v="2"/>
    <s v="Hyderabad"/>
    <x v="1"/>
    <s v="Individual"/>
    <s v="Keyboard"/>
    <x v="1"/>
    <n v="2"/>
    <n v="1890"/>
    <n v="0.05"/>
    <s v="Net Banking"/>
    <s v="Aarav Mehta"/>
    <x v="2"/>
    <n v="3780"/>
    <n v="189"/>
    <n v="3591"/>
    <n v="2"/>
    <x v="10"/>
  </r>
  <r>
    <s v="ORD-10068"/>
    <d v="2026-05-27T00:00:00"/>
    <x v="3"/>
    <s v="Guwahati"/>
    <x v="0"/>
    <s v="Small Business"/>
    <s v="Keyboard"/>
    <x v="1"/>
    <n v="3"/>
    <n v="1880"/>
    <n v="0.03"/>
    <s v="UPI"/>
    <s v="Sneha Iyer"/>
    <x v="0"/>
    <n v="5640"/>
    <n v="169.2"/>
    <n v="5470.8"/>
    <n v="5"/>
    <x v="10"/>
  </r>
  <r>
    <s v="ORD-10569"/>
    <d v="2026-05-28T00:00:00"/>
    <x v="1"/>
    <s v="Surat"/>
    <x v="0"/>
    <s v="Individual"/>
    <s v="External SSD"/>
    <x v="3"/>
    <n v="2"/>
    <n v="6940"/>
    <n v="0.05"/>
    <s v="UPI"/>
    <s v="Aarav Mehta"/>
    <x v="0"/>
    <n v="13880"/>
    <n v="694"/>
    <n v="13186"/>
    <n v="4"/>
    <x v="10"/>
  </r>
  <r>
    <s v="ORD-10263"/>
    <d v="2026-05-28T00:00:00"/>
    <x v="2"/>
    <s v="Hyderabad"/>
    <x v="1"/>
    <s v="Enterprise"/>
    <s v="Monitor"/>
    <x v="0"/>
    <n v="5"/>
    <n v="17000"/>
    <n v="0.08"/>
    <s v="UPI"/>
    <s v="Rohan Sharma"/>
    <x v="0"/>
    <n v="85000"/>
    <n v="6800"/>
    <n v="78200"/>
    <n v="3"/>
    <x v="10"/>
  </r>
  <r>
    <s v="ORD-10407"/>
    <d v="2026-05-30T00:00:00"/>
    <x v="2"/>
    <s v="Bengaluru"/>
    <x v="0"/>
    <s v="Individual"/>
    <s v="Office Chair"/>
    <x v="4"/>
    <n v="4"/>
    <n v="11290"/>
    <n v="0.05"/>
    <s v="UPI"/>
    <s v="Rohan Sharma"/>
    <x v="0"/>
    <n v="45160"/>
    <n v="2258"/>
    <n v="42902"/>
    <n v="5"/>
    <x v="10"/>
  </r>
  <r>
    <s v="ORD-10400"/>
    <d v="2026-05-30T00:00:00"/>
    <x v="3"/>
    <s v="Bhubaneswar"/>
    <x v="1"/>
    <s v="Enterprise"/>
    <s v="Office Desk"/>
    <x v="4"/>
    <n v="1"/>
    <n v="14900"/>
    <n v="0.03"/>
    <s v="UPI"/>
    <s v="Ananya Rao"/>
    <x v="0"/>
    <n v="14900"/>
    <n v="447"/>
    <n v="14453"/>
    <n v="4"/>
    <x v="10"/>
  </r>
  <r>
    <s v="ORD-10394"/>
    <d v="2026-05-30T00:00:00"/>
    <x v="1"/>
    <s v="Pune"/>
    <x v="1"/>
    <s v="Individual"/>
    <s v="Office Chair"/>
    <x v="4"/>
    <n v="2"/>
    <n v="12160"/>
    <n v="0.03"/>
    <s v="Debit Card"/>
    <s v="Aarav Mehta"/>
    <x v="0"/>
    <n v="24320"/>
    <n v="729.6"/>
    <n v="23590.400000000001"/>
    <n v="2"/>
    <x v="10"/>
  </r>
  <r>
    <s v="ORD-10618"/>
    <d v="2026-06-01T00:00:00"/>
    <x v="0"/>
    <s v="Jaipur"/>
    <x v="0"/>
    <s v="Individual"/>
    <s v="External SSD"/>
    <x v="3"/>
    <n v="1"/>
    <n v="7520"/>
    <n v="0.05"/>
    <s v="UPI"/>
    <s v="Aarav Mehta"/>
    <x v="0"/>
    <n v="7520"/>
    <n v="376"/>
    <n v="7144"/>
    <n v="1"/>
    <x v="11"/>
  </r>
  <r>
    <s v="ORD-10647"/>
    <d v="2026-06-01T00:00:00"/>
    <x v="0"/>
    <s v="Jaipur"/>
    <x v="0"/>
    <s v="Individual"/>
    <s v="Wireless Headphones"/>
    <x v="0"/>
    <n v="2"/>
    <n v="3110"/>
    <n v="0.1"/>
    <s v="UPI"/>
    <s v="Vikram Singh"/>
    <x v="0"/>
    <n v="6220"/>
    <n v="622"/>
    <n v="5598"/>
    <n v="6"/>
    <x v="11"/>
  </r>
  <r>
    <s v="ORD-10136"/>
    <d v="2026-06-01T00:00:00"/>
    <x v="1"/>
    <s v="Pune"/>
    <x v="1"/>
    <s v="Small Business"/>
    <s v="Office Desk"/>
    <x v="4"/>
    <n v="1"/>
    <n v="15400"/>
    <n v="0.03"/>
    <s v="UPI"/>
    <s v="Vikram Singh"/>
    <x v="0"/>
    <n v="15400"/>
    <n v="462"/>
    <n v="14938"/>
    <n v="5"/>
    <x v="11"/>
  </r>
  <r>
    <s v="ORD-10544"/>
    <d v="2026-06-01T00:00:00"/>
    <x v="1"/>
    <s v="Pune"/>
    <x v="1"/>
    <s v="Individual"/>
    <s v="Keyboard"/>
    <x v="1"/>
    <n v="5"/>
    <n v="1890"/>
    <n v="0.05"/>
    <s v="Credit Card"/>
    <s v="Aarav Mehta"/>
    <x v="0"/>
    <n v="9450"/>
    <n v="472.5"/>
    <n v="8977.5"/>
    <n v="3"/>
    <x v="11"/>
  </r>
  <r>
    <s v="ORD-10465"/>
    <d v="2026-06-04T00:00:00"/>
    <x v="2"/>
    <s v="Kochi"/>
    <x v="0"/>
    <s v="Small Business"/>
    <s v="Office Chair"/>
    <x v="4"/>
    <n v="2"/>
    <n v="11660"/>
    <n v="0.08"/>
    <s v="UPI"/>
    <s v="Aarav Mehta"/>
    <x v="0"/>
    <n v="23320"/>
    <n v="1865.6"/>
    <n v="21454.400000000001"/>
    <n v="1"/>
    <x v="11"/>
  </r>
  <r>
    <s v="ORD-10278"/>
    <d v="2026-06-04T00:00:00"/>
    <x v="3"/>
    <s v="Bhubaneswar"/>
    <x v="2"/>
    <s v="Individual"/>
    <s v="Keyboard"/>
    <x v="1"/>
    <n v="4"/>
    <n v="1750"/>
    <n v="0.03"/>
    <s v="Debit Card"/>
    <s v="Vikram Singh"/>
    <x v="0"/>
    <n v="7000"/>
    <n v="210"/>
    <n v="6790"/>
    <n v="2"/>
    <x v="11"/>
  </r>
  <r>
    <s v="ORD-10386"/>
    <d v="2026-06-04T00:00:00"/>
    <x v="2"/>
    <s v="Kochi"/>
    <x v="2"/>
    <s v="Individual"/>
    <s v="Keyboard"/>
    <x v="1"/>
    <n v="4"/>
    <n v="1850"/>
    <n v="0.05"/>
    <s v="Credit Card"/>
    <s v="Sneha Iyer"/>
    <x v="2"/>
    <n v="7400"/>
    <n v="370"/>
    <n v="7030"/>
    <n v="3"/>
    <x v="11"/>
  </r>
  <r>
    <s v="ORD-10365"/>
    <d v="2026-06-04T00:00:00"/>
    <x v="1"/>
    <s v="Pune"/>
    <x v="1"/>
    <s v="Individual"/>
    <s v="Monitor"/>
    <x v="0"/>
    <n v="1"/>
    <n v="15360"/>
    <n v="0.15"/>
    <s v="Net Banking"/>
    <s v="Karan Patel"/>
    <x v="0"/>
    <n v="15360"/>
    <n v="2304"/>
    <n v="13056"/>
    <n v="5"/>
    <x v="11"/>
  </r>
  <r>
    <s v="ORD-10596"/>
    <d v="2026-06-05T00:00:00"/>
    <x v="1"/>
    <s v="Pune"/>
    <x v="0"/>
    <s v="Individual"/>
    <s v="External SSD"/>
    <x v="3"/>
    <n v="1"/>
    <n v="6970"/>
    <n v="0.03"/>
    <s v="UPI"/>
    <s v="Aarav Mehta"/>
    <x v="0"/>
    <n v="6970"/>
    <n v="209.1"/>
    <n v="6760.9"/>
    <n v="4"/>
    <x v="11"/>
  </r>
  <r>
    <s v="ORD-10466"/>
    <d v="2026-06-05T00:00:00"/>
    <x v="2"/>
    <s v="Kochi"/>
    <x v="1"/>
    <s v="Small Business"/>
    <s v="Keyboard"/>
    <x v="1"/>
    <n v="2"/>
    <n v="1890"/>
    <n v="0.08"/>
    <s v="Debit Card"/>
    <s v="Vikram Singh"/>
    <x v="0"/>
    <n v="3780"/>
    <n v="302.39999999999998"/>
    <n v="3477.6"/>
    <n v="6"/>
    <x v="11"/>
  </r>
  <r>
    <s v="ORD-10502"/>
    <d v="2026-06-06T00:00:00"/>
    <x v="0"/>
    <s v="Lucknow"/>
    <x v="1"/>
    <s v="Individual"/>
    <s v="External SSD"/>
    <x v="3"/>
    <n v="2"/>
    <n v="7120"/>
    <n v="0.03"/>
    <s v="Debit Card"/>
    <s v="Rohan Sharma"/>
    <x v="0"/>
    <n v="14240"/>
    <n v="427.2"/>
    <n v="13812.8"/>
    <n v="3"/>
    <x v="11"/>
  </r>
  <r>
    <s v="ORD-10163"/>
    <d v="2026-06-06T00:00:00"/>
    <x v="1"/>
    <s v="Ahmedabad"/>
    <x v="2"/>
    <s v="Individual"/>
    <s v="Tablet"/>
    <x v="0"/>
    <n v="1"/>
    <n v="22700"/>
    <n v="0"/>
    <s v="Debit Card"/>
    <s v="Rohan Sharma"/>
    <x v="0"/>
    <n v="22700"/>
    <n v="0"/>
    <n v="22700"/>
    <n v="3"/>
    <x v="11"/>
  </r>
  <r>
    <s v="ORD-10261"/>
    <d v="2026-06-06T00:00:00"/>
    <x v="1"/>
    <s v="Mumbai"/>
    <x v="1"/>
    <s v="Individual"/>
    <s v="Tablet"/>
    <x v="0"/>
    <n v="2"/>
    <n v="22620"/>
    <n v="0.05"/>
    <s v="UPI"/>
    <s v="Ananya Rao"/>
    <x v="0"/>
    <n v="45240"/>
    <n v="2262"/>
    <n v="42978"/>
    <n v="3"/>
    <x v="11"/>
  </r>
  <r>
    <s v="ORD-10059"/>
    <d v="2026-06-06T00:00:00"/>
    <x v="2"/>
    <s v="Hyderabad"/>
    <x v="0"/>
    <s v="Individual"/>
    <s v="Laptop"/>
    <x v="0"/>
    <n v="1"/>
    <n v="60250"/>
    <n v="0.08"/>
    <s v="Credit Card"/>
    <s v="Vikram Singh"/>
    <x v="0"/>
    <n v="60250"/>
    <n v="4820"/>
    <n v="55430"/>
    <n v="3"/>
    <x v="11"/>
  </r>
  <r>
    <s v="ORD-10193"/>
    <d v="2026-06-07T00:00:00"/>
    <x v="2"/>
    <s v="Hyderabad"/>
    <x v="2"/>
    <s v="Individual"/>
    <s v="Keyboard"/>
    <x v="1"/>
    <n v="1"/>
    <n v="1780"/>
    <n v="0.03"/>
    <s v="Cash on Delivery"/>
    <s v="Sneha Iyer"/>
    <x v="0"/>
    <n v="1780"/>
    <n v="53.4"/>
    <n v="1726.6"/>
    <n v="5"/>
    <x v="11"/>
  </r>
  <r>
    <s v="ORD-10322"/>
    <d v="2026-06-08T00:00:00"/>
    <x v="2"/>
    <s v="Bengaluru"/>
    <x v="0"/>
    <s v="Small Business"/>
    <s v="Office Chair"/>
    <x v="4"/>
    <n v="2"/>
    <n v="11950"/>
    <n v="0"/>
    <s v="UPI"/>
    <s v="Rohan Sharma"/>
    <x v="0"/>
    <n v="23900"/>
    <n v="0"/>
    <n v="23900"/>
    <n v="6"/>
    <x v="11"/>
  </r>
  <r>
    <s v="ORD-10255"/>
    <d v="2026-06-08T00:00:00"/>
    <x v="0"/>
    <s v="Noida"/>
    <x v="1"/>
    <s v="Individual"/>
    <s v="Monitor"/>
    <x v="0"/>
    <n v="1"/>
    <n v="15990"/>
    <n v="0.08"/>
    <s v="UPI"/>
    <s v="Vikram Singh"/>
    <x v="0"/>
    <n v="15990"/>
    <n v="1279.2"/>
    <n v="14710.8"/>
    <n v="5"/>
    <x v="11"/>
  </r>
  <r>
    <s v="ORD-10546"/>
    <d v="2026-06-09T00:00:00"/>
    <x v="3"/>
    <s v="Kolkata"/>
    <x v="1"/>
    <s v="Individual"/>
    <s v="Smartphone"/>
    <x v="0"/>
    <n v="1"/>
    <n v="27190"/>
    <n v="0"/>
    <s v="Net Banking"/>
    <s v="Neha Kapoor"/>
    <x v="0"/>
    <n v="27190"/>
    <n v="0"/>
    <n v="27190"/>
    <n v="6"/>
    <x v="11"/>
  </r>
  <r>
    <s v="ORD-10089"/>
    <d v="2026-06-09T00:00:00"/>
    <x v="0"/>
    <s v="Delhi"/>
    <x v="2"/>
    <s v="Enterprise"/>
    <s v="Webcam"/>
    <x v="1"/>
    <n v="1"/>
    <n v="3410"/>
    <n v="0"/>
    <s v="Cash on Delivery"/>
    <s v="Karan Patel"/>
    <x v="0"/>
    <n v="3410"/>
    <n v="0"/>
    <n v="3410"/>
    <n v="5"/>
    <x v="11"/>
  </r>
  <r>
    <s v="ORD-10591"/>
    <d v="2026-06-09T00:00:00"/>
    <x v="1"/>
    <s v="Pune"/>
    <x v="0"/>
    <s v="Individual"/>
    <s v="Tablet"/>
    <x v="0"/>
    <n v="5"/>
    <n v="21050"/>
    <n v="0"/>
    <s v="Debit Card"/>
    <s v="Rohan Sharma"/>
    <x v="0"/>
    <n v="105250"/>
    <n v="0"/>
    <n v="105250"/>
    <n v="4"/>
    <x v="11"/>
  </r>
  <r>
    <s v="ORD-10511"/>
    <d v="2026-06-10T00:00:00"/>
    <x v="3"/>
    <s v="Bhubaneswar"/>
    <x v="2"/>
    <s v="Individual"/>
    <s v="Webcam"/>
    <x v="1"/>
    <n v="1"/>
    <n v="3820"/>
    <n v="0.03"/>
    <s v="Cash on Delivery"/>
    <s v="Aarav Mehta"/>
    <x v="0"/>
    <n v="3820"/>
    <n v="114.6"/>
    <n v="3705.4"/>
    <n v="5"/>
    <x v="11"/>
  </r>
  <r>
    <s v="ORD-10563"/>
    <d v="2026-06-10T00:00:00"/>
    <x v="1"/>
    <s v="Surat"/>
    <x v="0"/>
    <s v="Individual"/>
    <s v="Backpack"/>
    <x v="1"/>
    <n v="4"/>
    <n v="2440"/>
    <n v="0.15"/>
    <s v="Cash on Delivery"/>
    <s v="Neha Kapoor"/>
    <x v="0"/>
    <n v="9760"/>
    <n v="1464"/>
    <n v="8296"/>
    <n v="3"/>
    <x v="11"/>
  </r>
  <r>
    <s v="ORD-10005"/>
    <d v="2026-06-11T00:00:00"/>
    <x v="1"/>
    <s v="Ahmedabad"/>
    <x v="2"/>
    <s v="Individual"/>
    <s v="Mouse"/>
    <x v="1"/>
    <n v="2"/>
    <n v="990"/>
    <n v="0.1"/>
    <s v="Credit Card"/>
    <s v="Vikram Singh"/>
    <x v="0"/>
    <n v="1980"/>
    <n v="198"/>
    <n v="1782"/>
    <n v="4"/>
    <x v="11"/>
  </r>
  <r>
    <s v="ORD-10146"/>
    <d v="2026-06-11T00:00:00"/>
    <x v="2"/>
    <s v="Bengaluru"/>
    <x v="0"/>
    <s v="Small Business"/>
    <s v="External SSD"/>
    <x v="3"/>
    <n v="5"/>
    <n v="6730"/>
    <n v="0.05"/>
    <s v="Debit Card"/>
    <s v="Aarav Mehta"/>
    <x v="0"/>
    <n v="33650"/>
    <n v="1682.5"/>
    <n v="31967.5"/>
    <n v="3"/>
    <x v="11"/>
  </r>
  <r>
    <s v="ORD-10438"/>
    <d v="2026-06-11T00:00:00"/>
    <x v="0"/>
    <s v="Jaipur"/>
    <x v="1"/>
    <s v="Individual"/>
    <s v="Wireless Headphones"/>
    <x v="0"/>
    <n v="2"/>
    <n v="3120"/>
    <n v="0.1"/>
    <s v="Net Banking"/>
    <s v="Priya Nair"/>
    <x v="0"/>
    <n v="6240"/>
    <n v="624"/>
    <n v="5616"/>
    <n v="2"/>
    <x v="11"/>
  </r>
  <r>
    <s v="ORD-10044"/>
    <d v="2026-06-11T00:00:00"/>
    <x v="2"/>
    <s v="Bengaluru"/>
    <x v="1"/>
    <s v="Individual"/>
    <s v="External SSD"/>
    <x v="3"/>
    <n v="3"/>
    <n v="7640"/>
    <n v="0"/>
    <s v="UPI"/>
    <s v="Neha Kapoor"/>
    <x v="1"/>
    <n v="0"/>
    <n v="0"/>
    <n v="0"/>
    <m/>
    <x v="11"/>
  </r>
  <r>
    <s v="ORD-10450"/>
    <d v="2026-06-12T00:00:00"/>
    <x v="3"/>
    <s v="Kolkata"/>
    <x v="2"/>
    <s v="Small Business"/>
    <s v="Office Desk"/>
    <x v="4"/>
    <n v="3"/>
    <n v="14910"/>
    <n v="0.08"/>
    <s v="Debit Card"/>
    <s v="Sneha Iyer"/>
    <x v="0"/>
    <n v="44730"/>
    <n v="3578.4"/>
    <n v="41151.599999999999"/>
    <n v="4"/>
    <x v="11"/>
  </r>
  <r>
    <s v="ORD-10477"/>
    <d v="2026-06-13T00:00:00"/>
    <x v="1"/>
    <s v="Ahmedabad"/>
    <x v="1"/>
    <s v="Small Business"/>
    <s v="Keyboard"/>
    <x v="1"/>
    <n v="2"/>
    <n v="1840"/>
    <n v="0.08"/>
    <s v="UPI"/>
    <s v="Karan Patel"/>
    <x v="0"/>
    <n v="3680"/>
    <n v="294.39999999999998"/>
    <n v="3385.6"/>
    <n v="4"/>
    <x v="11"/>
  </r>
  <r>
    <s v="ORD-10087"/>
    <d v="2026-06-13T00:00:00"/>
    <x v="2"/>
    <s v="Hyderabad"/>
    <x v="2"/>
    <s v="Individual"/>
    <s v="Office Desk"/>
    <x v="4"/>
    <n v="1"/>
    <n v="14900"/>
    <n v="0.08"/>
    <s v="UPI"/>
    <s v="Aarav Mehta"/>
    <x v="0"/>
    <n v="14900"/>
    <n v="1192"/>
    <n v="13708"/>
    <n v="4"/>
    <x v="11"/>
  </r>
  <r>
    <s v="ORD-10279"/>
    <d v="2026-06-14T00:00:00"/>
    <x v="2"/>
    <s v="Hyderabad"/>
    <x v="1"/>
    <s v="Individual"/>
    <s v="Webcam"/>
    <x v="1"/>
    <n v="3"/>
    <n v="3480"/>
    <n v="0"/>
    <s v="Credit Card"/>
    <s v="Sneha Iyer"/>
    <x v="0"/>
    <n v="10440"/>
    <n v="0"/>
    <n v="10440"/>
    <n v="4"/>
    <x v="11"/>
  </r>
  <r>
    <s v="ORD-10232"/>
    <d v="2026-06-15T00:00:00"/>
    <x v="2"/>
    <s v="Kochi"/>
    <x v="1"/>
    <s v="Individual"/>
    <s v="Tablet"/>
    <x v="0"/>
    <n v="2"/>
    <n v="20550"/>
    <n v="0.1"/>
    <s v="Cash on Delivery"/>
    <s v="Neha Kapoor"/>
    <x v="0"/>
    <n v="41100"/>
    <n v="4110"/>
    <n v="36990"/>
    <n v="4"/>
    <x v="11"/>
  </r>
  <r>
    <s v="ORD-10267"/>
    <d v="2026-06-15T00:00:00"/>
    <x v="2"/>
    <s v="Chennai"/>
    <x v="1"/>
    <s v="Individual"/>
    <s v="Laptop"/>
    <x v="0"/>
    <n v="2"/>
    <n v="62280"/>
    <n v="0.05"/>
    <s v="UPI"/>
    <s v="Karan Patel"/>
    <x v="0"/>
    <n v="124560"/>
    <n v="6228"/>
    <n v="118332"/>
    <n v="4"/>
    <x v="11"/>
  </r>
  <r>
    <s v="ORD-10492"/>
    <d v="2026-06-17T00:00:00"/>
    <x v="2"/>
    <s v="Kochi"/>
    <x v="0"/>
    <s v="Individual"/>
    <s v="Smartphone"/>
    <x v="0"/>
    <n v="2"/>
    <n v="26120"/>
    <n v="0.05"/>
    <s v="Cash on Delivery"/>
    <s v="Ananya Rao"/>
    <x v="0"/>
    <n v="52240"/>
    <n v="2612"/>
    <n v="49628"/>
    <n v="3"/>
    <x v="11"/>
  </r>
  <r>
    <s v="ORD-10350"/>
    <d v="2026-06-17T00:00:00"/>
    <x v="2"/>
    <s v="Kochi"/>
    <x v="1"/>
    <s v="Individual"/>
    <s v="Smartphone"/>
    <x v="0"/>
    <n v="4"/>
    <n v="26910"/>
    <n v="0.08"/>
    <s v="Credit Card"/>
    <s v="Aarav Mehta"/>
    <x v="0"/>
    <n v="107640"/>
    <n v="8611.2000000000007"/>
    <n v="99028.800000000003"/>
    <n v="4"/>
    <x v="11"/>
  </r>
  <r>
    <s v="ORD-10108"/>
    <d v="2026-06-17T00:00:00"/>
    <x v="1"/>
    <s v="Ahmedabad"/>
    <x v="1"/>
    <s v="Individual"/>
    <s v="Tablet"/>
    <x v="0"/>
    <n v="1"/>
    <n v="22440"/>
    <n v="0.03"/>
    <s v="Net Banking"/>
    <s v="Neha Kapoor"/>
    <x v="0"/>
    <n v="22440"/>
    <n v="673.2"/>
    <n v="21766.799999999999"/>
    <n v="4"/>
    <x v="11"/>
  </r>
  <r>
    <s v="ORD-10474"/>
    <d v="2026-06-19T00:00:00"/>
    <x v="2"/>
    <s v="Chennai"/>
    <x v="1"/>
    <s v="Individual"/>
    <s v="Laptop"/>
    <x v="0"/>
    <n v="5"/>
    <n v="60930"/>
    <n v="0.15"/>
    <s v="UPI"/>
    <s v="Vikram Singh"/>
    <x v="0"/>
    <n v="304650"/>
    <n v="45697.5"/>
    <n v="258952.5"/>
    <n v="3"/>
    <x v="11"/>
  </r>
  <r>
    <s v="ORD-10560"/>
    <d v="2026-06-20T00:00:00"/>
    <x v="0"/>
    <s v="Delhi"/>
    <x v="0"/>
    <s v="Individual"/>
    <s v="Keyboard"/>
    <x v="1"/>
    <n v="2"/>
    <n v="1780"/>
    <n v="0.08"/>
    <s v="UPI"/>
    <s v="Vikram Singh"/>
    <x v="0"/>
    <n v="3560"/>
    <n v="284.8"/>
    <n v="3275.2"/>
    <n v="1"/>
    <x v="11"/>
  </r>
  <r>
    <s v="ORD-10002"/>
    <d v="2026-06-21T00:00:00"/>
    <x v="1"/>
    <s v="Ahmedabad"/>
    <x v="1"/>
    <s v="Small Business"/>
    <s v="Monitor"/>
    <x v="0"/>
    <n v="3"/>
    <n v="17600"/>
    <n v="0"/>
    <s v="UPI"/>
    <s v="Priya Nair"/>
    <x v="0"/>
    <n v="52800"/>
    <n v="0"/>
    <n v="52800"/>
    <n v="5"/>
    <x v="11"/>
  </r>
  <r>
    <s v="ORD-10095"/>
    <d v="2026-06-22T00:00:00"/>
    <x v="1"/>
    <s v="Mumbai"/>
    <x v="1"/>
    <s v="Individual"/>
    <s v="Backpack"/>
    <x v="1"/>
    <n v="5"/>
    <n v="2390"/>
    <n v="0.08"/>
    <s v="Debit Card"/>
    <s v="Sneha Iyer"/>
    <x v="0"/>
    <n v="11950"/>
    <n v="956"/>
    <n v="10994"/>
    <n v="3"/>
    <x v="11"/>
  </r>
  <r>
    <s v="ORD-10334"/>
    <d v="2026-06-23T00:00:00"/>
    <x v="3"/>
    <s v="Kolkata"/>
    <x v="1"/>
    <s v="Individual"/>
    <s v="Printer"/>
    <x v="2"/>
    <n v="1"/>
    <n v="12150"/>
    <n v="0.05"/>
    <s v="UPI"/>
    <s v="Sneha Iyer"/>
    <x v="0"/>
    <n v="12150"/>
    <n v="607.5"/>
    <n v="11542.5"/>
    <n v="3"/>
    <x v="11"/>
  </r>
  <r>
    <s v="ORD-10285"/>
    <d v="2026-06-23T00:00:00"/>
    <x v="3"/>
    <s v="Kolkata"/>
    <x v="1"/>
    <s v="Individual"/>
    <s v="Power Bank"/>
    <x v="1"/>
    <n v="1"/>
    <n v="1890"/>
    <n v="0.1"/>
    <s v="Credit Card"/>
    <s v="Neha Kapoor"/>
    <x v="0"/>
    <n v="1890"/>
    <n v="189"/>
    <n v="1701"/>
    <n v="4"/>
    <x v="11"/>
  </r>
  <r>
    <s v="ORD-10376"/>
    <d v="2026-06-24T00:00:00"/>
    <x v="3"/>
    <s v="Kolkata"/>
    <x v="1"/>
    <s v="Individual"/>
    <s v="Tablet"/>
    <x v="0"/>
    <n v="4"/>
    <n v="23200"/>
    <n v="0"/>
    <s v="UPI"/>
    <s v="Priya Nair"/>
    <x v="0"/>
    <n v="92800"/>
    <n v="0"/>
    <n v="92800"/>
    <n v="2"/>
    <x v="11"/>
  </r>
  <r>
    <s v="ORD-10289"/>
    <d v="2026-06-25T00:00:00"/>
    <x v="1"/>
    <s v="Ahmedabad"/>
    <x v="2"/>
    <s v="Individual"/>
    <s v="Tablet"/>
    <x v="0"/>
    <n v="5"/>
    <n v="21790"/>
    <n v="0.08"/>
    <s v="Debit Card"/>
    <s v="Aarav Mehta"/>
    <x v="0"/>
    <n v="108950"/>
    <n v="8716"/>
    <n v="100234"/>
    <n v="3"/>
    <x v="11"/>
  </r>
  <r>
    <s v="ORD-10018"/>
    <d v="2026-06-25T00:00:00"/>
    <x v="2"/>
    <s v="Chennai"/>
    <x v="1"/>
    <s v="Individual"/>
    <s v="Office Chair"/>
    <x v="4"/>
    <n v="3"/>
    <n v="11310"/>
    <n v="0.08"/>
    <s v="Cash on Delivery"/>
    <s v="Neha Kapoor"/>
    <x v="0"/>
    <n v="33930"/>
    <n v="2714.4"/>
    <n v="31215.599999999999"/>
    <n v="6"/>
    <x v="11"/>
  </r>
  <r>
    <s v="ORD-10393"/>
    <d v="2026-06-25T00:00:00"/>
    <x v="2"/>
    <s v="Hyderabad"/>
    <x v="2"/>
    <s v="Individual"/>
    <s v="External SSD"/>
    <x v="3"/>
    <n v="1"/>
    <n v="6860"/>
    <n v="0.03"/>
    <s v="Debit Card"/>
    <s v="Rohan Sharma"/>
    <x v="0"/>
    <n v="6860"/>
    <n v="205.8"/>
    <n v="6654.2"/>
    <n v="3"/>
    <x v="11"/>
  </r>
  <r>
    <s v="ORD-10508"/>
    <d v="2026-06-25T00:00:00"/>
    <x v="2"/>
    <s v="Hyderabad"/>
    <x v="1"/>
    <s v="Individual"/>
    <s v="Tablet"/>
    <x v="0"/>
    <n v="3"/>
    <n v="21730"/>
    <n v="0.1"/>
    <s v="UPI"/>
    <s v="Karan Patel"/>
    <x v="0"/>
    <n v="65190"/>
    <n v="6519"/>
    <n v="58671"/>
    <n v="2"/>
    <x v="11"/>
  </r>
  <r>
    <s v="ORD-10449"/>
    <d v="2026-06-25T00:00:00"/>
    <x v="0"/>
    <s v="Jaipur"/>
    <x v="1"/>
    <s v="Small Business"/>
    <s v="Office Desk"/>
    <x v="4"/>
    <n v="1"/>
    <n v="15200"/>
    <n v="0"/>
    <s v="Credit Card"/>
    <s v="Priya Nair"/>
    <x v="0"/>
    <n v="15200"/>
    <n v="0"/>
    <n v="15200"/>
    <n v="3"/>
    <x v="11"/>
  </r>
  <r>
    <s v="ORD-10077"/>
    <d v="2026-06-26T00:00:00"/>
    <x v="2"/>
    <s v="Hyderabad"/>
    <x v="1"/>
    <s v="Individual"/>
    <s v="External SSD"/>
    <x v="3"/>
    <n v="1"/>
    <n v="7150"/>
    <n v="0.08"/>
    <s v="Credit Card"/>
    <s v="Vikram Singh"/>
    <x v="0"/>
    <n v="7150"/>
    <n v="572"/>
    <n v="6578"/>
    <n v="1"/>
    <x v="11"/>
  </r>
  <r>
    <s v="ORD-10276"/>
    <d v="2026-06-28T00:00:00"/>
    <x v="1"/>
    <s v="Ahmedabad"/>
    <x v="1"/>
    <s v="Enterprise"/>
    <s v="Office Desk"/>
    <x v="4"/>
    <n v="1"/>
    <n v="13910"/>
    <n v="0.05"/>
    <s v="UPI"/>
    <s v="Ananya Rao"/>
    <x v="0"/>
    <n v="13910"/>
    <n v="695.5"/>
    <n v="13214.5"/>
    <n v="3"/>
    <x v="11"/>
  </r>
  <r>
    <s v="ORD-10577"/>
    <d v="2026-06-29T00:00:00"/>
    <x v="1"/>
    <s v="Ahmedabad"/>
    <x v="0"/>
    <s v="Individual"/>
    <s v="Monitor"/>
    <x v="0"/>
    <n v="2"/>
    <n v="16650"/>
    <n v="0.05"/>
    <s v="Net Banking"/>
    <s v="Sneha Iyer"/>
    <x v="0"/>
    <n v="33300"/>
    <n v="1665"/>
    <n v="31635"/>
    <n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66CDBE-3D51-4C60-812A-EAB925366930}"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5:B10" firstHeaderRow="1" firstDataRow="1" firstDataCol="1" rowPageCount="1" colPageCount="1"/>
  <pivotFields count="19">
    <pivotField compact="0" outline="0" showAll="0"/>
    <pivotField compact="0" numFmtId="164" outline="0" showAll="0"/>
    <pivotField axis="axisRow" compact="0" outline="0" showAll="0">
      <items count="5">
        <item x="3"/>
        <item x="0"/>
        <item x="2"/>
        <item x="1"/>
        <item t="default"/>
      </items>
    </pivotField>
    <pivotField compact="0" outline="0" showAll="0"/>
    <pivotField compact="0" outline="0" showAll="0"/>
    <pivotField compact="0" outline="0" showAll="0"/>
    <pivotField compact="0" outline="0" showAll="0"/>
    <pivotField axis="axisPage" compact="0" outline="0" showAll="0">
      <items count="6">
        <item h="1" x="1"/>
        <item x="0"/>
        <item h="1" x="4"/>
        <item h="1" x="2"/>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s>
  <rowFields count="1">
    <field x="2"/>
  </rowFields>
  <rowItems count="5">
    <i>
      <x/>
    </i>
    <i>
      <x v="1"/>
    </i>
    <i>
      <x v="2"/>
    </i>
    <i>
      <x v="3"/>
    </i>
    <i t="grand">
      <x/>
    </i>
  </rowItems>
  <colItems count="1">
    <i/>
  </colItems>
  <pageFields count="1">
    <pageField fld="7" item="1" hier="-1"/>
  </pageFields>
  <dataFields count="1">
    <dataField name="Sum of Net Sales INR" fld="16"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F14E49-0E1F-4934-B81D-66E3BD0F1E0E}" name="PivotTable5" cacheId="4"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5">
  <location ref="A22:B26" firstHeaderRow="1" firstDataRow="1" firstDataCol="1"/>
  <pivotFields count="19">
    <pivotField dataField="1"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numFmtId="14" outline="0" showAll="0"/>
  </pivotFields>
  <rowFields count="1">
    <field x="13"/>
  </rowFields>
  <rowItems count="4">
    <i>
      <x/>
    </i>
    <i>
      <x v="1"/>
    </i>
    <i>
      <x v="2"/>
    </i>
    <i t="grand">
      <x/>
    </i>
  </rowItems>
  <colItems count="1">
    <i/>
  </colItems>
  <dataFields count="1">
    <dataField name="Count of Order ID" fld="0"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6E856-71E1-4EF0-AE44-30A3685E1116}"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F28" firstHeaderRow="1" firstDataRow="1" firstDataCol="2"/>
  <pivotFields count="19">
    <pivotField compact="0" outline="0" showAll="0"/>
    <pivotField compact="0" numFmtId="164" outline="0" showAll="0"/>
    <pivotField axis="axisRow" compact="0" outline="0" showAll="0">
      <items count="5">
        <item x="3"/>
        <item x="0"/>
        <item x="2"/>
        <item x="1"/>
        <item t="default"/>
      </items>
    </pivotField>
    <pivotField compact="0" outline="0" showAll="0"/>
    <pivotField compact="0" outline="0" showAll="0"/>
    <pivotField compact="0" outline="0" showAll="0"/>
    <pivotField compact="0" outline="0" showAll="0"/>
    <pivotField axis="axisRow" compact="0" outline="0" showAll="0">
      <items count="6">
        <item x="1"/>
        <item x="0"/>
        <item x="4"/>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s>
  <rowFields count="2">
    <field x="2"/>
    <field x="7"/>
  </rowFields>
  <rowItems count="25">
    <i>
      <x/>
      <x/>
    </i>
    <i r="1">
      <x v="1"/>
    </i>
    <i r="1">
      <x v="2"/>
    </i>
    <i r="1">
      <x v="3"/>
    </i>
    <i r="1">
      <x v="4"/>
    </i>
    <i t="default">
      <x/>
    </i>
    <i>
      <x v="1"/>
      <x/>
    </i>
    <i r="1">
      <x v="1"/>
    </i>
    <i r="1">
      <x v="2"/>
    </i>
    <i r="1">
      <x v="3"/>
    </i>
    <i r="1">
      <x v="4"/>
    </i>
    <i t="default">
      <x v="1"/>
    </i>
    <i>
      <x v="2"/>
      <x/>
    </i>
    <i r="1">
      <x v="1"/>
    </i>
    <i r="1">
      <x v="2"/>
    </i>
    <i r="1">
      <x v="3"/>
    </i>
    <i r="1">
      <x v="4"/>
    </i>
    <i t="default">
      <x v="2"/>
    </i>
    <i>
      <x v="3"/>
      <x/>
    </i>
    <i r="1">
      <x v="1"/>
    </i>
    <i r="1">
      <x v="2"/>
    </i>
    <i r="1">
      <x v="3"/>
    </i>
    <i r="1">
      <x v="4"/>
    </i>
    <i t="default">
      <x v="3"/>
    </i>
    <i t="grand">
      <x/>
    </i>
  </rowItems>
  <colItems count="1">
    <i/>
  </colItems>
  <dataFields count="1">
    <dataField name="Sum of Net Sales INR"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652470-45CA-4498-9D14-792089DD068B}" name="PivotTable1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2:B45" firstHeaderRow="1" firstDataRow="1" firstDataCol="1"/>
  <pivotFields count="19">
    <pivotField compact="0" outline="0" showAll="0"/>
    <pivotField compact="0" numFmtId="164" outline="0" showAll="0"/>
    <pivotField compact="0" outline="0" showAll="0">
      <items count="5">
        <item h="1" x="3"/>
        <item x="0"/>
        <item h="1" x="2"/>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numFmtId="166" outline="0" showAll="0">
      <items count="13">
        <item x="0"/>
        <item x="1"/>
        <item x="2"/>
        <item x="3"/>
        <item x="4"/>
        <item x="5"/>
        <item x="6"/>
        <item x="7"/>
        <item x="8"/>
        <item x="9"/>
        <item x="10"/>
        <item x="11"/>
        <item t="default"/>
      </items>
    </pivotField>
  </pivotFields>
  <rowFields count="1">
    <field x="18"/>
  </rowFields>
  <rowItems count="13">
    <i>
      <x/>
    </i>
    <i>
      <x v="1"/>
    </i>
    <i>
      <x v="2"/>
    </i>
    <i>
      <x v="3"/>
    </i>
    <i>
      <x v="4"/>
    </i>
    <i>
      <x v="5"/>
    </i>
    <i>
      <x v="6"/>
    </i>
    <i>
      <x v="7"/>
    </i>
    <i>
      <x v="8"/>
    </i>
    <i>
      <x v="9"/>
    </i>
    <i>
      <x v="10"/>
    </i>
    <i>
      <x v="11"/>
    </i>
    <i t="grand">
      <x/>
    </i>
  </rowItems>
  <colItems count="1">
    <i/>
  </colItems>
  <dataFields count="1">
    <dataField name="Sum of Net Sales INR" fld="16"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0F0694-3CCF-4D02-815D-233B4BDEB7D8}" name="PivotTable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H6:I10" firstHeaderRow="1" firstDataRow="1" firstDataCol="1"/>
  <pivotFields count="19">
    <pivotField compact="0" outline="0" showAll="0"/>
    <pivotField compact="0" numFmtId="164"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s>
  <rowFields count="1">
    <field x="4"/>
  </rowFields>
  <rowItems count="4">
    <i>
      <x/>
    </i>
    <i>
      <x v="1"/>
    </i>
    <i>
      <x v="2"/>
    </i>
    <i t="grand">
      <x/>
    </i>
  </rowItems>
  <colItems count="1">
    <i/>
  </colItems>
  <dataFields count="1">
    <dataField name="Sum of Net Sales INR" fld="16"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E2DEA-700B-4DB3-B74C-401D8A07873F}"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3:B19" firstHeaderRow="1" firstDataRow="1" firstDataCol="1"/>
  <pivotFields count="19">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axis="axisRow" compact="0" outline="0" showAll="0">
      <items count="6">
        <item x="1"/>
        <item x="0"/>
        <item x="4"/>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s>
  <rowFields count="1">
    <field x="7"/>
  </rowFields>
  <rowItems count="6">
    <i>
      <x/>
    </i>
    <i>
      <x v="1"/>
    </i>
    <i>
      <x v="2"/>
    </i>
    <i>
      <x v="3"/>
    </i>
    <i>
      <x v="4"/>
    </i>
    <i t="grand">
      <x/>
    </i>
  </rowItems>
  <colItems count="1">
    <i/>
  </colItems>
  <dataFields count="1">
    <dataField name="Sum of Net Sales INR" fld="16" baseField="0" baseItem="0"/>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19A1F98-BCB6-4CEE-A43C-584EC70A0F2E}" sourceName="Region">
  <pivotTables>
    <pivotTable tabId="3" name="PivotTable1"/>
  </pivotTables>
  <data>
    <tabular pivotCacheId="1729516095">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F2B1396-4CD8-4391-BCB3-8C74A19385D1}" cache="Slicer_Region" caption="Regio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F3DEAC-CFBC-484A-BA1A-8F1BE4F43DFD}" name="Table2" displayName="Table2" ref="A1:S651" totalsRowShown="0" headerRowDxfId="4" headerRowBorderDxfId="2" tableBorderDxfId="3">
  <autoFilter ref="A1:S651" xr:uid="{8EF3DEAC-CFBC-484A-BA1A-8F1BE4F43DFD}"/>
  <tableColumns count="19">
    <tableColumn id="1" xr3:uid="{85A8E132-34C5-4CC8-B4E5-55664DC13391}" name="Order ID"/>
    <tableColumn id="2" xr3:uid="{9322CB60-0668-4517-9BB9-FA11266DD17A}" name="Order Date" dataDxfId="1"/>
    <tableColumn id="3" xr3:uid="{D4168DA1-D8BE-4167-BBE8-279801ECF59E}" name="Region"/>
    <tableColumn id="4" xr3:uid="{66D67E78-A885-42A3-A432-F090E45F55C4}" name="City"/>
    <tableColumn id="5" xr3:uid="{89C69571-FCEF-432D-998E-0A3D66FD1B2B}" name="Sales Channel"/>
    <tableColumn id="6" xr3:uid="{996D4574-9F40-44D1-8798-1BBFB93A8EA2}" name="Customer Type"/>
    <tableColumn id="7" xr3:uid="{4FC4B203-A56A-40A8-A20F-E8791400F2A6}" name="Product"/>
    <tableColumn id="8" xr3:uid="{889B8B77-AAF6-483C-BC8F-41B9D71D9436}" name="Category"/>
    <tableColumn id="9" xr3:uid="{928CA68E-A584-4BA1-AF46-EBC6231F1604}" name="Quantity"/>
    <tableColumn id="10" xr3:uid="{B51621DD-B6A0-4F47-B78E-E98ECDE510FF}" name="Unit Price INR"/>
    <tableColumn id="11" xr3:uid="{A51297D0-9E23-4BD0-B152-D4BA34DB6366}" name="Discount"/>
    <tableColumn id="12" xr3:uid="{E5242116-8833-4304-BBF3-AF7208B49070}" name="Payment Method"/>
    <tableColumn id="13" xr3:uid="{266634C9-D1DF-4941-8E09-0FBF7335F69E}" name="Salesperson"/>
    <tableColumn id="14" xr3:uid="{6B3E9A19-D976-46BD-94CA-3A928889A50E}" name="Order Status"/>
    <tableColumn id="15" xr3:uid="{05B1AE14-3A00-4E7C-8C74-C55EE76E1139}" name="Gross Sales INR"/>
    <tableColumn id="16" xr3:uid="{139263ED-379E-48B2-9532-8B0FBC9A4C29}" name="Discount Amount INR"/>
    <tableColumn id="17" xr3:uid="{14745517-EDEE-4579-B55F-FCAA90C24A1E}" name="Net Sales INR"/>
    <tableColumn id="18" xr3:uid="{E7C4ECE1-242A-4E08-A66B-E25415B82626}" name="Delivery Days"/>
    <tableColumn id="19" xr3:uid="{C396930B-619B-4BE3-A441-D0C0884A7EBA}" name="Sales Month" dataDxfId="0">
      <calculatedColumnFormula>DATE(YEAR(B2),MONTH(B2),1)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653"/>
  <sheetViews>
    <sheetView workbookViewId="0">
      <pane ySplit="1" topLeftCell="A27" activePane="bottomLeft" state="frozen"/>
      <selection pane="bottomLeft"/>
    </sheetView>
  </sheetViews>
  <sheetFormatPr defaultRowHeight="15"/>
  <cols>
    <col min="1" max="1" width="12" customWidth="1"/>
    <col min="2" max="2" width="21" customWidth="1"/>
    <col min="3" max="3" width="12" customWidth="1"/>
    <col min="4" max="4" width="13" customWidth="1"/>
    <col min="5" max="5" width="15" customWidth="1"/>
    <col min="6" max="6" width="16" customWidth="1"/>
    <col min="7" max="7" width="21" customWidth="1"/>
    <col min="8" max="8" width="18" customWidth="1"/>
    <col min="9" max="9" width="12" customWidth="1"/>
    <col min="10" max="10" width="16" customWidth="1"/>
    <col min="11" max="11" width="12" customWidth="1"/>
    <col min="12" max="12" width="18" customWidth="1"/>
    <col min="13" max="14" width="14" customWidth="1"/>
    <col min="15" max="15" width="17" customWidth="1"/>
    <col min="16" max="16" width="21" customWidth="1"/>
    <col min="17" max="18" width="1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s="2">
        <v>45839</v>
      </c>
      <c r="C2" t="s">
        <v>19</v>
      </c>
      <c r="D2" t="s">
        <v>20</v>
      </c>
      <c r="E2" t="s">
        <v>21</v>
      </c>
      <c r="F2" t="s">
        <v>22</v>
      </c>
      <c r="G2" t="s">
        <v>23</v>
      </c>
      <c r="H2" t="s">
        <v>24</v>
      </c>
      <c r="I2">
        <v>5</v>
      </c>
      <c r="J2">
        <v>26500</v>
      </c>
      <c r="K2">
        <v>0</v>
      </c>
      <c r="L2" t="s">
        <v>25</v>
      </c>
      <c r="M2" t="s">
        <v>26</v>
      </c>
      <c r="N2" t="s">
        <v>27</v>
      </c>
      <c r="O2">
        <v>132500</v>
      </c>
      <c r="P2">
        <v>0</v>
      </c>
      <c r="Q2">
        <v>132500</v>
      </c>
      <c r="R2">
        <v>3</v>
      </c>
    </row>
    <row r="3" spans="1:18">
      <c r="A3" t="s">
        <v>28</v>
      </c>
      <c r="B3" s="2">
        <v>45839</v>
      </c>
      <c r="C3" t="s">
        <v>29</v>
      </c>
      <c r="D3" t="s">
        <v>30</v>
      </c>
      <c r="E3" t="s">
        <v>21</v>
      </c>
      <c r="F3" t="s">
        <v>31</v>
      </c>
      <c r="G3" t="s">
        <v>32</v>
      </c>
      <c r="H3" t="s">
        <v>33</v>
      </c>
      <c r="I3">
        <v>1</v>
      </c>
      <c r="J3">
        <v>2500</v>
      </c>
      <c r="K3">
        <v>0.03</v>
      </c>
      <c r="L3" t="s">
        <v>34</v>
      </c>
      <c r="M3" t="s">
        <v>35</v>
      </c>
      <c r="N3" t="s">
        <v>27</v>
      </c>
      <c r="O3">
        <v>2500</v>
      </c>
      <c r="P3">
        <v>75</v>
      </c>
      <c r="Q3">
        <v>2425</v>
      </c>
      <c r="R3">
        <v>2</v>
      </c>
    </row>
    <row r="4" spans="1:18">
      <c r="A4" t="s">
        <v>36</v>
      </c>
      <c r="B4" s="2">
        <v>45839</v>
      </c>
      <c r="C4" t="s">
        <v>29</v>
      </c>
      <c r="D4" t="s">
        <v>30</v>
      </c>
      <c r="E4" t="s">
        <v>21</v>
      </c>
      <c r="F4" t="s">
        <v>31</v>
      </c>
      <c r="G4" t="s">
        <v>37</v>
      </c>
      <c r="H4" t="s">
        <v>24</v>
      </c>
      <c r="I4">
        <v>3</v>
      </c>
      <c r="J4">
        <v>57740</v>
      </c>
      <c r="K4">
        <v>0.05</v>
      </c>
      <c r="L4" t="s">
        <v>34</v>
      </c>
      <c r="M4" t="s">
        <v>38</v>
      </c>
      <c r="N4" t="s">
        <v>27</v>
      </c>
      <c r="O4">
        <v>173220</v>
      </c>
      <c r="P4">
        <v>8661</v>
      </c>
      <c r="Q4">
        <v>164559</v>
      </c>
      <c r="R4">
        <v>1</v>
      </c>
    </row>
    <row r="5" spans="1:18">
      <c r="A5" t="s">
        <v>39</v>
      </c>
      <c r="B5" s="2">
        <v>45840</v>
      </c>
      <c r="C5" t="s">
        <v>40</v>
      </c>
      <c r="D5" t="s">
        <v>41</v>
      </c>
      <c r="E5" t="s">
        <v>42</v>
      </c>
      <c r="F5" t="s">
        <v>22</v>
      </c>
      <c r="G5" t="s">
        <v>43</v>
      </c>
      <c r="H5" t="s">
        <v>33</v>
      </c>
      <c r="I5">
        <v>3</v>
      </c>
      <c r="J5">
        <v>990</v>
      </c>
      <c r="K5">
        <v>0</v>
      </c>
      <c r="L5" t="s">
        <v>34</v>
      </c>
      <c r="M5" t="s">
        <v>44</v>
      </c>
      <c r="N5" t="s">
        <v>45</v>
      </c>
      <c r="O5">
        <v>0</v>
      </c>
      <c r="P5">
        <v>0</v>
      </c>
      <c r="Q5">
        <v>0</v>
      </c>
    </row>
    <row r="6" spans="1:18">
      <c r="A6" t="s">
        <v>46</v>
      </c>
      <c r="B6" s="2">
        <v>45840</v>
      </c>
      <c r="C6" t="s">
        <v>40</v>
      </c>
      <c r="D6" t="s">
        <v>47</v>
      </c>
      <c r="E6" t="s">
        <v>21</v>
      </c>
      <c r="F6" t="s">
        <v>22</v>
      </c>
      <c r="G6" t="s">
        <v>48</v>
      </c>
      <c r="H6" t="s">
        <v>49</v>
      </c>
      <c r="I6">
        <v>2</v>
      </c>
      <c r="J6">
        <v>13300</v>
      </c>
      <c r="K6">
        <v>0.15</v>
      </c>
      <c r="L6" t="s">
        <v>25</v>
      </c>
      <c r="M6" t="s">
        <v>50</v>
      </c>
      <c r="N6" t="s">
        <v>27</v>
      </c>
      <c r="O6">
        <v>26600</v>
      </c>
      <c r="P6">
        <v>3990</v>
      </c>
      <c r="Q6">
        <v>22610</v>
      </c>
      <c r="R6">
        <v>3</v>
      </c>
    </row>
    <row r="7" spans="1:18">
      <c r="A7" t="s">
        <v>51</v>
      </c>
      <c r="B7" s="2">
        <v>45840</v>
      </c>
      <c r="C7" t="s">
        <v>19</v>
      </c>
      <c r="D7" t="s">
        <v>52</v>
      </c>
      <c r="E7" t="s">
        <v>21</v>
      </c>
      <c r="F7" t="s">
        <v>53</v>
      </c>
      <c r="G7" t="s">
        <v>23</v>
      </c>
      <c r="H7" t="s">
        <v>24</v>
      </c>
      <c r="I7">
        <v>1</v>
      </c>
      <c r="J7">
        <v>29800</v>
      </c>
      <c r="K7">
        <v>0.1</v>
      </c>
      <c r="L7" t="s">
        <v>54</v>
      </c>
      <c r="M7" t="s">
        <v>55</v>
      </c>
      <c r="N7" t="s">
        <v>27</v>
      </c>
      <c r="O7">
        <v>29800</v>
      </c>
      <c r="P7">
        <v>2980</v>
      </c>
      <c r="Q7">
        <v>26820</v>
      </c>
      <c r="R7">
        <v>3</v>
      </c>
    </row>
    <row r="8" spans="1:18">
      <c r="A8" t="s">
        <v>56</v>
      </c>
      <c r="B8" s="2">
        <v>45840</v>
      </c>
      <c r="C8" t="s">
        <v>19</v>
      </c>
      <c r="D8" t="s">
        <v>57</v>
      </c>
      <c r="E8" t="s">
        <v>21</v>
      </c>
      <c r="F8" t="s">
        <v>31</v>
      </c>
      <c r="G8" t="s">
        <v>58</v>
      </c>
      <c r="H8" t="s">
        <v>59</v>
      </c>
      <c r="I8">
        <v>1</v>
      </c>
      <c r="J8">
        <v>6710</v>
      </c>
      <c r="K8">
        <v>0</v>
      </c>
      <c r="L8" t="s">
        <v>34</v>
      </c>
      <c r="M8" t="s">
        <v>44</v>
      </c>
      <c r="N8" t="s">
        <v>27</v>
      </c>
      <c r="O8">
        <v>6710</v>
      </c>
      <c r="P8">
        <v>0</v>
      </c>
      <c r="Q8">
        <v>6710</v>
      </c>
      <c r="R8">
        <v>2</v>
      </c>
    </row>
    <row r="9" spans="1:18">
      <c r="A9" t="s">
        <v>60</v>
      </c>
      <c r="B9" s="2">
        <v>45842</v>
      </c>
      <c r="C9" t="s">
        <v>29</v>
      </c>
      <c r="D9" t="s">
        <v>61</v>
      </c>
      <c r="E9" t="s">
        <v>42</v>
      </c>
      <c r="F9" t="s">
        <v>31</v>
      </c>
      <c r="G9" t="s">
        <v>62</v>
      </c>
      <c r="H9" t="s">
        <v>33</v>
      </c>
      <c r="I9">
        <v>3</v>
      </c>
      <c r="J9">
        <v>1790</v>
      </c>
      <c r="K9">
        <v>0.05</v>
      </c>
      <c r="L9" t="s">
        <v>34</v>
      </c>
      <c r="M9" t="s">
        <v>50</v>
      </c>
      <c r="N9" t="s">
        <v>27</v>
      </c>
      <c r="O9">
        <v>5370</v>
      </c>
      <c r="P9">
        <v>268.5</v>
      </c>
      <c r="Q9">
        <v>5101.5</v>
      </c>
      <c r="R9">
        <v>3</v>
      </c>
    </row>
    <row r="10" spans="1:18">
      <c r="A10" t="s">
        <v>63</v>
      </c>
      <c r="B10" s="2">
        <v>45842</v>
      </c>
      <c r="C10" t="s">
        <v>29</v>
      </c>
      <c r="D10" t="s">
        <v>61</v>
      </c>
      <c r="E10" t="s">
        <v>42</v>
      </c>
      <c r="F10" t="s">
        <v>31</v>
      </c>
      <c r="G10" t="s">
        <v>58</v>
      </c>
      <c r="H10" t="s">
        <v>59</v>
      </c>
      <c r="I10">
        <v>2</v>
      </c>
      <c r="J10">
        <v>6850</v>
      </c>
      <c r="K10">
        <v>0.05</v>
      </c>
      <c r="L10" t="s">
        <v>64</v>
      </c>
      <c r="M10" t="s">
        <v>26</v>
      </c>
      <c r="N10" t="s">
        <v>27</v>
      </c>
      <c r="O10">
        <v>13700</v>
      </c>
      <c r="P10">
        <v>685</v>
      </c>
      <c r="Q10">
        <v>13015</v>
      </c>
      <c r="R10">
        <v>3</v>
      </c>
    </row>
    <row r="11" spans="1:18">
      <c r="A11" t="s">
        <v>65</v>
      </c>
      <c r="B11" s="2">
        <v>45842</v>
      </c>
      <c r="C11" t="s">
        <v>19</v>
      </c>
      <c r="D11" t="s">
        <v>57</v>
      </c>
      <c r="E11" t="s">
        <v>21</v>
      </c>
      <c r="F11" t="s">
        <v>53</v>
      </c>
      <c r="G11" t="s">
        <v>58</v>
      </c>
      <c r="H11" t="s">
        <v>59</v>
      </c>
      <c r="I11">
        <v>4</v>
      </c>
      <c r="J11">
        <v>6700</v>
      </c>
      <c r="K11">
        <v>0.03</v>
      </c>
      <c r="L11" t="s">
        <v>64</v>
      </c>
      <c r="M11" t="s">
        <v>66</v>
      </c>
      <c r="N11" t="s">
        <v>27</v>
      </c>
      <c r="O11">
        <v>26800</v>
      </c>
      <c r="P11">
        <v>804</v>
      </c>
      <c r="Q11">
        <v>25996</v>
      </c>
      <c r="R11">
        <v>4</v>
      </c>
    </row>
    <row r="12" spans="1:18">
      <c r="A12" t="s">
        <v>67</v>
      </c>
      <c r="B12" s="2">
        <v>45842</v>
      </c>
      <c r="C12" t="s">
        <v>29</v>
      </c>
      <c r="D12" t="s">
        <v>30</v>
      </c>
      <c r="E12" t="s">
        <v>42</v>
      </c>
      <c r="F12" t="s">
        <v>22</v>
      </c>
      <c r="G12" t="s">
        <v>62</v>
      </c>
      <c r="H12" t="s">
        <v>33</v>
      </c>
      <c r="I12">
        <v>1</v>
      </c>
      <c r="J12">
        <v>1740</v>
      </c>
      <c r="K12">
        <v>0</v>
      </c>
      <c r="L12" t="s">
        <v>68</v>
      </c>
      <c r="M12" t="s">
        <v>38</v>
      </c>
      <c r="N12" t="s">
        <v>27</v>
      </c>
      <c r="O12">
        <v>1740</v>
      </c>
      <c r="P12">
        <v>0</v>
      </c>
      <c r="Q12">
        <v>1740</v>
      </c>
      <c r="R12">
        <v>4</v>
      </c>
    </row>
    <row r="13" spans="1:18">
      <c r="A13" t="s">
        <v>69</v>
      </c>
      <c r="B13" s="2">
        <v>45843</v>
      </c>
      <c r="C13" t="s">
        <v>29</v>
      </c>
      <c r="D13" t="s">
        <v>61</v>
      </c>
      <c r="E13" t="s">
        <v>70</v>
      </c>
      <c r="F13" t="s">
        <v>22</v>
      </c>
      <c r="G13" t="s">
        <v>43</v>
      </c>
      <c r="H13" t="s">
        <v>33</v>
      </c>
      <c r="I13">
        <v>5</v>
      </c>
      <c r="J13">
        <v>950</v>
      </c>
      <c r="K13">
        <v>0.1</v>
      </c>
      <c r="L13" t="s">
        <v>64</v>
      </c>
      <c r="M13" t="s">
        <v>71</v>
      </c>
      <c r="N13" t="s">
        <v>27</v>
      </c>
      <c r="O13">
        <v>4750</v>
      </c>
      <c r="P13">
        <v>475</v>
      </c>
      <c r="Q13">
        <v>4275</v>
      </c>
      <c r="R13">
        <v>3</v>
      </c>
    </row>
    <row r="14" spans="1:18">
      <c r="A14" t="s">
        <v>72</v>
      </c>
      <c r="B14" s="2">
        <v>45843</v>
      </c>
      <c r="C14" t="s">
        <v>40</v>
      </c>
      <c r="D14" t="s">
        <v>47</v>
      </c>
      <c r="E14" t="s">
        <v>42</v>
      </c>
      <c r="F14" t="s">
        <v>22</v>
      </c>
      <c r="G14" t="s">
        <v>73</v>
      </c>
      <c r="H14" t="s">
        <v>74</v>
      </c>
      <c r="I14">
        <v>2</v>
      </c>
      <c r="J14">
        <v>11810</v>
      </c>
      <c r="K14">
        <v>0.08</v>
      </c>
      <c r="L14" t="s">
        <v>68</v>
      </c>
      <c r="M14" t="s">
        <v>71</v>
      </c>
      <c r="N14" t="s">
        <v>27</v>
      </c>
      <c r="O14">
        <v>23620</v>
      </c>
      <c r="P14">
        <v>1889.6</v>
      </c>
      <c r="Q14">
        <v>21730.400000000001</v>
      </c>
      <c r="R14">
        <v>2</v>
      </c>
    </row>
    <row r="15" spans="1:18">
      <c r="A15" t="s">
        <v>75</v>
      </c>
      <c r="B15" s="2">
        <v>45844</v>
      </c>
      <c r="C15" t="s">
        <v>40</v>
      </c>
      <c r="D15" t="s">
        <v>41</v>
      </c>
      <c r="E15" t="s">
        <v>21</v>
      </c>
      <c r="F15" t="s">
        <v>22</v>
      </c>
      <c r="G15" t="s">
        <v>37</v>
      </c>
      <c r="H15" t="s">
        <v>24</v>
      </c>
      <c r="I15">
        <v>3</v>
      </c>
      <c r="J15">
        <v>64490</v>
      </c>
      <c r="K15">
        <v>0</v>
      </c>
      <c r="L15" t="s">
        <v>34</v>
      </c>
      <c r="M15" t="s">
        <v>35</v>
      </c>
      <c r="N15" t="s">
        <v>27</v>
      </c>
      <c r="O15">
        <v>193470</v>
      </c>
      <c r="P15">
        <v>0</v>
      </c>
      <c r="Q15">
        <v>193470</v>
      </c>
      <c r="R15">
        <v>1</v>
      </c>
    </row>
    <row r="16" spans="1:18">
      <c r="A16" t="s">
        <v>76</v>
      </c>
      <c r="B16" s="2">
        <v>45844</v>
      </c>
      <c r="C16" t="s">
        <v>29</v>
      </c>
      <c r="D16" t="s">
        <v>30</v>
      </c>
      <c r="E16" t="s">
        <v>42</v>
      </c>
      <c r="F16" t="s">
        <v>22</v>
      </c>
      <c r="G16" t="s">
        <v>37</v>
      </c>
      <c r="H16" t="s">
        <v>24</v>
      </c>
      <c r="I16">
        <v>1</v>
      </c>
      <c r="J16">
        <v>64500</v>
      </c>
      <c r="K16">
        <v>0.08</v>
      </c>
      <c r="L16" t="s">
        <v>34</v>
      </c>
      <c r="M16" t="s">
        <v>38</v>
      </c>
      <c r="N16" t="s">
        <v>27</v>
      </c>
      <c r="O16">
        <v>64500</v>
      </c>
      <c r="P16">
        <v>5160</v>
      </c>
      <c r="Q16">
        <v>59340</v>
      </c>
      <c r="R16">
        <v>5</v>
      </c>
    </row>
    <row r="17" spans="1:18">
      <c r="A17" t="s">
        <v>77</v>
      </c>
      <c r="B17" s="2">
        <v>45844</v>
      </c>
      <c r="C17" t="s">
        <v>29</v>
      </c>
      <c r="D17" t="s">
        <v>78</v>
      </c>
      <c r="E17" t="s">
        <v>21</v>
      </c>
      <c r="F17" t="s">
        <v>22</v>
      </c>
      <c r="G17" t="s">
        <v>58</v>
      </c>
      <c r="H17" t="s">
        <v>59</v>
      </c>
      <c r="I17">
        <v>4</v>
      </c>
      <c r="J17">
        <v>7640</v>
      </c>
      <c r="K17">
        <v>0.05</v>
      </c>
      <c r="L17" t="s">
        <v>68</v>
      </c>
      <c r="M17" t="s">
        <v>38</v>
      </c>
      <c r="N17" t="s">
        <v>27</v>
      </c>
      <c r="O17">
        <v>30560</v>
      </c>
      <c r="P17">
        <v>1528</v>
      </c>
      <c r="Q17">
        <v>29032</v>
      </c>
      <c r="R17">
        <v>2</v>
      </c>
    </row>
    <row r="18" spans="1:18">
      <c r="A18" t="s">
        <v>79</v>
      </c>
      <c r="B18" s="2">
        <v>45845</v>
      </c>
      <c r="C18" t="s">
        <v>40</v>
      </c>
      <c r="D18" t="s">
        <v>41</v>
      </c>
      <c r="E18" t="s">
        <v>21</v>
      </c>
      <c r="F18" t="s">
        <v>31</v>
      </c>
      <c r="G18" t="s">
        <v>23</v>
      </c>
      <c r="H18" t="s">
        <v>24</v>
      </c>
      <c r="I18">
        <v>4</v>
      </c>
      <c r="J18">
        <v>29300</v>
      </c>
      <c r="K18">
        <v>0.08</v>
      </c>
      <c r="L18" t="s">
        <v>68</v>
      </c>
      <c r="M18" t="s">
        <v>26</v>
      </c>
      <c r="N18" t="s">
        <v>27</v>
      </c>
      <c r="O18">
        <v>117200</v>
      </c>
      <c r="P18">
        <v>9376</v>
      </c>
      <c r="Q18">
        <v>107824</v>
      </c>
      <c r="R18">
        <v>5</v>
      </c>
    </row>
    <row r="19" spans="1:18">
      <c r="A19" t="s">
        <v>80</v>
      </c>
      <c r="B19" s="2">
        <v>45845</v>
      </c>
      <c r="C19" t="s">
        <v>29</v>
      </c>
      <c r="D19" t="s">
        <v>78</v>
      </c>
      <c r="E19" t="s">
        <v>42</v>
      </c>
      <c r="F19" t="s">
        <v>53</v>
      </c>
      <c r="G19" t="s">
        <v>32</v>
      </c>
      <c r="H19" t="s">
        <v>33</v>
      </c>
      <c r="I19">
        <v>3</v>
      </c>
      <c r="J19">
        <v>2290</v>
      </c>
      <c r="K19">
        <v>0</v>
      </c>
      <c r="L19" t="s">
        <v>64</v>
      </c>
      <c r="M19" t="s">
        <v>50</v>
      </c>
      <c r="N19" t="s">
        <v>27</v>
      </c>
      <c r="O19">
        <v>6870</v>
      </c>
      <c r="P19">
        <v>0</v>
      </c>
      <c r="Q19">
        <v>6870</v>
      </c>
      <c r="R19">
        <v>2</v>
      </c>
    </row>
    <row r="20" spans="1:18">
      <c r="A20" t="s">
        <v>81</v>
      </c>
      <c r="B20" s="2">
        <v>45846</v>
      </c>
      <c r="C20" t="s">
        <v>82</v>
      </c>
      <c r="D20" t="s">
        <v>83</v>
      </c>
      <c r="E20" t="s">
        <v>21</v>
      </c>
      <c r="F20" t="s">
        <v>53</v>
      </c>
      <c r="G20" t="s">
        <v>37</v>
      </c>
      <c r="H20" t="s">
        <v>24</v>
      </c>
      <c r="I20">
        <v>3</v>
      </c>
      <c r="J20">
        <v>61020</v>
      </c>
      <c r="K20">
        <v>0</v>
      </c>
      <c r="L20" t="s">
        <v>25</v>
      </c>
      <c r="M20" t="s">
        <v>38</v>
      </c>
      <c r="N20" t="s">
        <v>27</v>
      </c>
      <c r="O20">
        <v>183060</v>
      </c>
      <c r="P20">
        <v>0</v>
      </c>
      <c r="Q20">
        <v>183060</v>
      </c>
      <c r="R20">
        <v>4</v>
      </c>
    </row>
    <row r="21" spans="1:18">
      <c r="A21" t="s">
        <v>84</v>
      </c>
      <c r="B21" s="2">
        <v>45846</v>
      </c>
      <c r="C21" t="s">
        <v>29</v>
      </c>
      <c r="D21" t="s">
        <v>85</v>
      </c>
      <c r="E21" t="s">
        <v>70</v>
      </c>
      <c r="F21" t="s">
        <v>22</v>
      </c>
      <c r="G21" t="s">
        <v>62</v>
      </c>
      <c r="H21" t="s">
        <v>33</v>
      </c>
      <c r="I21">
        <v>1</v>
      </c>
      <c r="J21">
        <v>1880</v>
      </c>
      <c r="K21">
        <v>0.05</v>
      </c>
      <c r="L21" t="s">
        <v>54</v>
      </c>
      <c r="M21" t="s">
        <v>55</v>
      </c>
      <c r="N21" t="s">
        <v>27</v>
      </c>
      <c r="O21">
        <v>1880</v>
      </c>
      <c r="P21">
        <v>94</v>
      </c>
      <c r="Q21">
        <v>1786</v>
      </c>
      <c r="R21">
        <v>3</v>
      </c>
    </row>
    <row r="22" spans="1:18">
      <c r="A22" t="s">
        <v>86</v>
      </c>
      <c r="B22" s="2">
        <v>45846</v>
      </c>
      <c r="C22" t="s">
        <v>19</v>
      </c>
      <c r="D22" t="s">
        <v>52</v>
      </c>
      <c r="E22" t="s">
        <v>42</v>
      </c>
      <c r="F22" t="s">
        <v>31</v>
      </c>
      <c r="G22" t="s">
        <v>37</v>
      </c>
      <c r="H22" t="s">
        <v>24</v>
      </c>
      <c r="I22">
        <v>4</v>
      </c>
      <c r="J22">
        <v>58490</v>
      </c>
      <c r="K22">
        <v>0.15</v>
      </c>
      <c r="L22" t="s">
        <v>54</v>
      </c>
      <c r="M22" t="s">
        <v>71</v>
      </c>
      <c r="N22" t="s">
        <v>27</v>
      </c>
      <c r="O22">
        <v>233960</v>
      </c>
      <c r="P22">
        <v>35094</v>
      </c>
      <c r="Q22">
        <v>198866</v>
      </c>
      <c r="R22">
        <v>1</v>
      </c>
    </row>
    <row r="23" spans="1:18">
      <c r="A23" t="s">
        <v>87</v>
      </c>
      <c r="B23" s="2">
        <v>45847</v>
      </c>
      <c r="C23" t="s">
        <v>40</v>
      </c>
      <c r="D23" t="s">
        <v>47</v>
      </c>
      <c r="E23" t="s">
        <v>42</v>
      </c>
      <c r="F23" t="s">
        <v>22</v>
      </c>
      <c r="G23" t="s">
        <v>32</v>
      </c>
      <c r="H23" t="s">
        <v>33</v>
      </c>
      <c r="I23">
        <v>5</v>
      </c>
      <c r="J23">
        <v>2400</v>
      </c>
      <c r="K23">
        <v>0.05</v>
      </c>
      <c r="L23" t="s">
        <v>68</v>
      </c>
      <c r="M23" t="s">
        <v>38</v>
      </c>
      <c r="N23" t="s">
        <v>27</v>
      </c>
      <c r="O23">
        <v>12000</v>
      </c>
      <c r="P23">
        <v>600</v>
      </c>
      <c r="Q23">
        <v>11400</v>
      </c>
      <c r="R23">
        <v>3</v>
      </c>
    </row>
    <row r="24" spans="1:18">
      <c r="A24" t="s">
        <v>88</v>
      </c>
      <c r="B24" s="2">
        <v>45848</v>
      </c>
      <c r="C24" t="s">
        <v>40</v>
      </c>
      <c r="D24" t="s">
        <v>89</v>
      </c>
      <c r="E24" t="s">
        <v>42</v>
      </c>
      <c r="F24" t="s">
        <v>53</v>
      </c>
      <c r="G24" t="s">
        <v>62</v>
      </c>
      <c r="H24" t="s">
        <v>33</v>
      </c>
      <c r="I24">
        <v>2</v>
      </c>
      <c r="J24">
        <v>1830</v>
      </c>
      <c r="K24">
        <v>0.08</v>
      </c>
      <c r="L24" t="s">
        <v>64</v>
      </c>
      <c r="M24" t="s">
        <v>26</v>
      </c>
      <c r="N24" t="s">
        <v>27</v>
      </c>
      <c r="O24">
        <v>3660</v>
      </c>
      <c r="P24">
        <v>292.8</v>
      </c>
      <c r="Q24">
        <v>3367.2</v>
      </c>
      <c r="R24">
        <v>5</v>
      </c>
    </row>
    <row r="25" spans="1:18">
      <c r="A25" t="s">
        <v>90</v>
      </c>
      <c r="B25" s="2">
        <v>45848</v>
      </c>
      <c r="C25" t="s">
        <v>19</v>
      </c>
      <c r="D25" t="s">
        <v>20</v>
      </c>
      <c r="E25" t="s">
        <v>21</v>
      </c>
      <c r="F25" t="s">
        <v>31</v>
      </c>
      <c r="G25" t="s">
        <v>32</v>
      </c>
      <c r="H25" t="s">
        <v>33</v>
      </c>
      <c r="I25">
        <v>1</v>
      </c>
      <c r="J25">
        <v>2280</v>
      </c>
      <c r="K25">
        <v>0</v>
      </c>
      <c r="L25" t="s">
        <v>25</v>
      </c>
      <c r="M25" t="s">
        <v>71</v>
      </c>
      <c r="N25" t="s">
        <v>27</v>
      </c>
      <c r="O25">
        <v>2280</v>
      </c>
      <c r="P25">
        <v>0</v>
      </c>
      <c r="Q25">
        <v>2280</v>
      </c>
      <c r="R25">
        <v>3</v>
      </c>
    </row>
    <row r="26" spans="1:18">
      <c r="A26" t="s">
        <v>91</v>
      </c>
      <c r="B26" s="2">
        <v>45848</v>
      </c>
      <c r="C26" t="s">
        <v>19</v>
      </c>
      <c r="D26" t="s">
        <v>20</v>
      </c>
      <c r="E26" t="s">
        <v>42</v>
      </c>
      <c r="F26" t="s">
        <v>31</v>
      </c>
      <c r="G26" t="s">
        <v>92</v>
      </c>
      <c r="H26" t="s">
        <v>24</v>
      </c>
      <c r="I26">
        <v>4</v>
      </c>
      <c r="J26">
        <v>17330</v>
      </c>
      <c r="K26">
        <v>0.05</v>
      </c>
      <c r="L26" t="s">
        <v>64</v>
      </c>
      <c r="M26" t="s">
        <v>50</v>
      </c>
      <c r="N26" t="s">
        <v>27</v>
      </c>
      <c r="O26">
        <v>69320</v>
      </c>
      <c r="P26">
        <v>3466</v>
      </c>
      <c r="Q26">
        <v>65854</v>
      </c>
      <c r="R26">
        <v>3</v>
      </c>
    </row>
    <row r="27" spans="1:18">
      <c r="A27" t="s">
        <v>93</v>
      </c>
      <c r="B27" s="2">
        <v>45849</v>
      </c>
      <c r="C27" t="s">
        <v>40</v>
      </c>
      <c r="D27" t="s">
        <v>89</v>
      </c>
      <c r="E27" t="s">
        <v>21</v>
      </c>
      <c r="F27" t="s">
        <v>31</v>
      </c>
      <c r="G27" t="s">
        <v>48</v>
      </c>
      <c r="H27" t="s">
        <v>49</v>
      </c>
      <c r="I27">
        <v>5</v>
      </c>
      <c r="J27">
        <v>11680</v>
      </c>
      <c r="K27">
        <v>0.08</v>
      </c>
      <c r="L27" t="s">
        <v>54</v>
      </c>
      <c r="M27" t="s">
        <v>50</v>
      </c>
      <c r="N27" t="s">
        <v>27</v>
      </c>
      <c r="O27">
        <v>58400</v>
      </c>
      <c r="P27">
        <v>4672</v>
      </c>
      <c r="Q27">
        <v>53728</v>
      </c>
      <c r="R27">
        <v>2</v>
      </c>
    </row>
    <row r="28" spans="1:18">
      <c r="A28" t="s">
        <v>94</v>
      </c>
      <c r="B28" s="2">
        <v>45849</v>
      </c>
      <c r="C28" t="s">
        <v>40</v>
      </c>
      <c r="D28" t="s">
        <v>47</v>
      </c>
      <c r="E28" t="s">
        <v>21</v>
      </c>
      <c r="F28" t="s">
        <v>31</v>
      </c>
      <c r="G28" t="s">
        <v>95</v>
      </c>
      <c r="H28" t="s">
        <v>24</v>
      </c>
      <c r="I28">
        <v>2</v>
      </c>
      <c r="J28">
        <v>21260</v>
      </c>
      <c r="K28">
        <v>0.05</v>
      </c>
      <c r="L28" t="s">
        <v>64</v>
      </c>
      <c r="M28" t="s">
        <v>35</v>
      </c>
      <c r="N28" t="s">
        <v>27</v>
      </c>
      <c r="O28">
        <v>42520</v>
      </c>
      <c r="P28">
        <v>2126</v>
      </c>
      <c r="Q28">
        <v>40394</v>
      </c>
      <c r="R28">
        <v>5</v>
      </c>
    </row>
    <row r="29" spans="1:18">
      <c r="A29" t="s">
        <v>96</v>
      </c>
      <c r="B29" s="2">
        <v>45849</v>
      </c>
      <c r="C29" t="s">
        <v>19</v>
      </c>
      <c r="D29" t="s">
        <v>52</v>
      </c>
      <c r="E29" t="s">
        <v>42</v>
      </c>
      <c r="F29" t="s">
        <v>53</v>
      </c>
      <c r="G29" t="s">
        <v>23</v>
      </c>
      <c r="H29" t="s">
        <v>24</v>
      </c>
      <c r="I29">
        <v>2</v>
      </c>
      <c r="J29">
        <v>26450</v>
      </c>
      <c r="K29">
        <v>0.08</v>
      </c>
      <c r="L29" t="s">
        <v>54</v>
      </c>
      <c r="M29" t="s">
        <v>55</v>
      </c>
      <c r="N29" t="s">
        <v>27</v>
      </c>
      <c r="O29">
        <v>52900</v>
      </c>
      <c r="P29">
        <v>4232</v>
      </c>
      <c r="Q29">
        <v>48668</v>
      </c>
      <c r="R29">
        <v>6</v>
      </c>
    </row>
    <row r="30" spans="1:18">
      <c r="A30" t="s">
        <v>97</v>
      </c>
      <c r="B30" s="2">
        <v>45852</v>
      </c>
      <c r="C30" t="s">
        <v>29</v>
      </c>
      <c r="D30" t="s">
        <v>78</v>
      </c>
      <c r="E30" t="s">
        <v>42</v>
      </c>
      <c r="F30" t="s">
        <v>22</v>
      </c>
      <c r="G30" t="s">
        <v>92</v>
      </c>
      <c r="H30" t="s">
        <v>24</v>
      </c>
      <c r="I30">
        <v>1</v>
      </c>
      <c r="J30">
        <v>17610</v>
      </c>
      <c r="K30">
        <v>0</v>
      </c>
      <c r="L30" t="s">
        <v>68</v>
      </c>
      <c r="M30" t="s">
        <v>44</v>
      </c>
      <c r="N30" t="s">
        <v>27</v>
      </c>
      <c r="O30">
        <v>17610</v>
      </c>
      <c r="P30">
        <v>0</v>
      </c>
      <c r="Q30">
        <v>17610</v>
      </c>
      <c r="R30">
        <v>2</v>
      </c>
    </row>
    <row r="31" spans="1:18">
      <c r="A31" t="s">
        <v>98</v>
      </c>
      <c r="B31" s="2">
        <v>45852</v>
      </c>
      <c r="C31" t="s">
        <v>19</v>
      </c>
      <c r="D31" t="s">
        <v>20</v>
      </c>
      <c r="E31" t="s">
        <v>42</v>
      </c>
      <c r="F31" t="s">
        <v>31</v>
      </c>
      <c r="G31" t="s">
        <v>62</v>
      </c>
      <c r="H31" t="s">
        <v>33</v>
      </c>
      <c r="I31">
        <v>2</v>
      </c>
      <c r="J31">
        <v>1890</v>
      </c>
      <c r="K31">
        <v>0.05</v>
      </c>
      <c r="L31" t="s">
        <v>54</v>
      </c>
      <c r="M31" t="s">
        <v>66</v>
      </c>
      <c r="N31" t="s">
        <v>27</v>
      </c>
      <c r="O31">
        <v>3780</v>
      </c>
      <c r="P31">
        <v>189</v>
      </c>
      <c r="Q31">
        <v>3591</v>
      </c>
      <c r="R31">
        <v>3</v>
      </c>
    </row>
    <row r="32" spans="1:18">
      <c r="A32" t="s">
        <v>99</v>
      </c>
      <c r="B32" s="2">
        <v>45853</v>
      </c>
      <c r="C32" t="s">
        <v>19</v>
      </c>
      <c r="D32" t="s">
        <v>52</v>
      </c>
      <c r="E32" t="s">
        <v>21</v>
      </c>
      <c r="F32" t="s">
        <v>31</v>
      </c>
      <c r="G32" t="s">
        <v>23</v>
      </c>
      <c r="H32" t="s">
        <v>24</v>
      </c>
      <c r="I32">
        <v>1</v>
      </c>
      <c r="J32">
        <v>27790</v>
      </c>
      <c r="K32">
        <v>0</v>
      </c>
      <c r="L32" t="s">
        <v>64</v>
      </c>
      <c r="M32" t="s">
        <v>71</v>
      </c>
      <c r="N32" t="s">
        <v>27</v>
      </c>
      <c r="O32">
        <v>27790</v>
      </c>
      <c r="P32">
        <v>0</v>
      </c>
      <c r="Q32">
        <v>27790</v>
      </c>
      <c r="R32">
        <v>2</v>
      </c>
    </row>
    <row r="33" spans="1:18">
      <c r="A33" t="s">
        <v>100</v>
      </c>
      <c r="B33" s="2">
        <v>45853</v>
      </c>
      <c r="C33" t="s">
        <v>82</v>
      </c>
      <c r="D33" t="s">
        <v>83</v>
      </c>
      <c r="E33" t="s">
        <v>21</v>
      </c>
      <c r="F33" t="s">
        <v>31</v>
      </c>
      <c r="G33" t="s">
        <v>101</v>
      </c>
      <c r="H33" t="s">
        <v>33</v>
      </c>
      <c r="I33">
        <v>1</v>
      </c>
      <c r="J33">
        <v>1920</v>
      </c>
      <c r="K33">
        <v>0.08</v>
      </c>
      <c r="L33" t="s">
        <v>68</v>
      </c>
      <c r="M33" t="s">
        <v>26</v>
      </c>
      <c r="N33" t="s">
        <v>27</v>
      </c>
      <c r="O33">
        <v>1920</v>
      </c>
      <c r="P33">
        <v>153.6</v>
      </c>
      <c r="Q33">
        <v>1766.4</v>
      </c>
      <c r="R33">
        <v>2</v>
      </c>
    </row>
    <row r="34" spans="1:18">
      <c r="A34" t="s">
        <v>102</v>
      </c>
      <c r="B34" s="2">
        <v>45853</v>
      </c>
      <c r="C34" t="s">
        <v>19</v>
      </c>
      <c r="D34" t="s">
        <v>103</v>
      </c>
      <c r="E34" t="s">
        <v>21</v>
      </c>
      <c r="F34" t="s">
        <v>31</v>
      </c>
      <c r="G34" t="s">
        <v>62</v>
      </c>
      <c r="H34" t="s">
        <v>33</v>
      </c>
      <c r="I34">
        <v>2</v>
      </c>
      <c r="J34">
        <v>1700</v>
      </c>
      <c r="K34">
        <v>0</v>
      </c>
      <c r="L34" t="s">
        <v>64</v>
      </c>
      <c r="M34" t="s">
        <v>66</v>
      </c>
      <c r="N34" t="s">
        <v>27</v>
      </c>
      <c r="O34">
        <v>3400</v>
      </c>
      <c r="P34">
        <v>0</v>
      </c>
      <c r="Q34">
        <v>3400</v>
      </c>
      <c r="R34">
        <v>1</v>
      </c>
    </row>
    <row r="35" spans="1:18">
      <c r="A35" t="s">
        <v>104</v>
      </c>
      <c r="B35" s="2">
        <v>45853</v>
      </c>
      <c r="C35" t="s">
        <v>82</v>
      </c>
      <c r="D35" t="s">
        <v>83</v>
      </c>
      <c r="E35" t="s">
        <v>42</v>
      </c>
      <c r="F35" t="s">
        <v>22</v>
      </c>
      <c r="G35" t="s">
        <v>105</v>
      </c>
      <c r="H35" t="s">
        <v>24</v>
      </c>
      <c r="I35">
        <v>1</v>
      </c>
      <c r="J35">
        <v>3230</v>
      </c>
      <c r="K35">
        <v>0.05</v>
      </c>
      <c r="L35" t="s">
        <v>64</v>
      </c>
      <c r="M35" t="s">
        <v>66</v>
      </c>
      <c r="N35" t="s">
        <v>27</v>
      </c>
      <c r="O35">
        <v>3230</v>
      </c>
      <c r="P35">
        <v>161.5</v>
      </c>
      <c r="Q35">
        <v>3068.5</v>
      </c>
      <c r="R35">
        <v>4</v>
      </c>
    </row>
    <row r="36" spans="1:18">
      <c r="A36" t="s">
        <v>106</v>
      </c>
      <c r="B36" s="2">
        <v>45853</v>
      </c>
      <c r="C36" t="s">
        <v>40</v>
      </c>
      <c r="D36" t="s">
        <v>47</v>
      </c>
      <c r="E36" t="s">
        <v>42</v>
      </c>
      <c r="F36" t="s">
        <v>31</v>
      </c>
      <c r="G36" t="s">
        <v>101</v>
      </c>
      <c r="H36" t="s">
        <v>33</v>
      </c>
      <c r="I36">
        <v>3</v>
      </c>
      <c r="J36">
        <v>1900</v>
      </c>
      <c r="K36">
        <v>0.05</v>
      </c>
      <c r="L36" t="s">
        <v>54</v>
      </c>
      <c r="M36" t="s">
        <v>71</v>
      </c>
      <c r="N36" t="s">
        <v>27</v>
      </c>
      <c r="O36">
        <v>5700</v>
      </c>
      <c r="P36">
        <v>285</v>
      </c>
      <c r="Q36">
        <v>5415</v>
      </c>
      <c r="R36">
        <v>4</v>
      </c>
    </row>
    <row r="37" spans="1:18">
      <c r="A37" t="s">
        <v>107</v>
      </c>
      <c r="B37" s="2">
        <v>45854</v>
      </c>
      <c r="C37" t="s">
        <v>82</v>
      </c>
      <c r="D37" t="s">
        <v>83</v>
      </c>
      <c r="E37" t="s">
        <v>21</v>
      </c>
      <c r="F37" t="s">
        <v>22</v>
      </c>
      <c r="G37" t="s">
        <v>62</v>
      </c>
      <c r="H37" t="s">
        <v>33</v>
      </c>
      <c r="I37">
        <v>3</v>
      </c>
      <c r="J37">
        <v>1700</v>
      </c>
      <c r="K37">
        <v>0.08</v>
      </c>
      <c r="L37" t="s">
        <v>64</v>
      </c>
      <c r="M37" t="s">
        <v>55</v>
      </c>
      <c r="N37" t="s">
        <v>27</v>
      </c>
      <c r="O37">
        <v>5100</v>
      </c>
      <c r="P37">
        <v>408</v>
      </c>
      <c r="Q37">
        <v>4692</v>
      </c>
      <c r="R37">
        <v>3</v>
      </c>
    </row>
    <row r="38" spans="1:18">
      <c r="A38" t="s">
        <v>108</v>
      </c>
      <c r="B38" s="2">
        <v>45856</v>
      </c>
      <c r="C38" t="s">
        <v>40</v>
      </c>
      <c r="D38" t="s">
        <v>47</v>
      </c>
      <c r="E38" t="s">
        <v>42</v>
      </c>
      <c r="F38" t="s">
        <v>22</v>
      </c>
      <c r="G38" t="s">
        <v>23</v>
      </c>
      <c r="H38" t="s">
        <v>24</v>
      </c>
      <c r="I38">
        <v>3</v>
      </c>
      <c r="J38">
        <v>27680</v>
      </c>
      <c r="K38">
        <v>0.03</v>
      </c>
      <c r="L38" t="s">
        <v>25</v>
      </c>
      <c r="M38" t="s">
        <v>55</v>
      </c>
      <c r="N38" t="s">
        <v>27</v>
      </c>
      <c r="O38">
        <v>83040</v>
      </c>
      <c r="P38">
        <v>2491.1999999999998</v>
      </c>
      <c r="Q38">
        <v>80548.800000000003</v>
      </c>
      <c r="R38">
        <v>3</v>
      </c>
    </row>
    <row r="39" spans="1:18">
      <c r="A39" t="s">
        <v>109</v>
      </c>
      <c r="B39" s="2">
        <v>45856</v>
      </c>
      <c r="C39" t="s">
        <v>29</v>
      </c>
      <c r="D39" t="s">
        <v>30</v>
      </c>
      <c r="E39" t="s">
        <v>42</v>
      </c>
      <c r="F39" t="s">
        <v>22</v>
      </c>
      <c r="G39" t="s">
        <v>92</v>
      </c>
      <c r="H39" t="s">
        <v>24</v>
      </c>
      <c r="I39">
        <v>1</v>
      </c>
      <c r="J39">
        <v>17320</v>
      </c>
      <c r="K39">
        <v>0.05</v>
      </c>
      <c r="L39" t="s">
        <v>68</v>
      </c>
      <c r="M39" t="s">
        <v>66</v>
      </c>
      <c r="N39" t="s">
        <v>27</v>
      </c>
      <c r="O39">
        <v>17320</v>
      </c>
      <c r="P39">
        <v>866</v>
      </c>
      <c r="Q39">
        <v>16454</v>
      </c>
      <c r="R39">
        <v>1</v>
      </c>
    </row>
    <row r="40" spans="1:18">
      <c r="A40" t="s">
        <v>110</v>
      </c>
      <c r="B40" s="2">
        <v>45856</v>
      </c>
      <c r="C40" t="s">
        <v>82</v>
      </c>
      <c r="D40" t="s">
        <v>83</v>
      </c>
      <c r="E40" t="s">
        <v>21</v>
      </c>
      <c r="F40" t="s">
        <v>53</v>
      </c>
      <c r="G40" t="s">
        <v>32</v>
      </c>
      <c r="H40" t="s">
        <v>33</v>
      </c>
      <c r="I40">
        <v>1</v>
      </c>
      <c r="J40">
        <v>2280</v>
      </c>
      <c r="K40">
        <v>0</v>
      </c>
      <c r="L40" t="s">
        <v>64</v>
      </c>
      <c r="M40" t="s">
        <v>26</v>
      </c>
      <c r="N40" t="s">
        <v>27</v>
      </c>
      <c r="O40">
        <v>2280</v>
      </c>
      <c r="P40">
        <v>0</v>
      </c>
      <c r="Q40">
        <v>2280</v>
      </c>
      <c r="R40">
        <v>6</v>
      </c>
    </row>
    <row r="41" spans="1:18">
      <c r="A41" t="s">
        <v>111</v>
      </c>
      <c r="B41" s="2">
        <v>45859</v>
      </c>
      <c r="C41" t="s">
        <v>40</v>
      </c>
      <c r="D41" t="s">
        <v>89</v>
      </c>
      <c r="E41" t="s">
        <v>70</v>
      </c>
      <c r="F41" t="s">
        <v>31</v>
      </c>
      <c r="G41" t="s">
        <v>23</v>
      </c>
      <c r="H41" t="s">
        <v>24</v>
      </c>
      <c r="I41">
        <v>2</v>
      </c>
      <c r="J41">
        <v>26540</v>
      </c>
      <c r="K41">
        <v>0.03</v>
      </c>
      <c r="L41" t="s">
        <v>54</v>
      </c>
      <c r="M41" t="s">
        <v>55</v>
      </c>
      <c r="N41" t="s">
        <v>27</v>
      </c>
      <c r="O41">
        <v>53080</v>
      </c>
      <c r="P41">
        <v>1592.4</v>
      </c>
      <c r="Q41">
        <v>51487.6</v>
      </c>
      <c r="R41">
        <v>3</v>
      </c>
    </row>
    <row r="42" spans="1:18">
      <c r="A42" t="s">
        <v>112</v>
      </c>
      <c r="B42" s="2">
        <v>45859</v>
      </c>
      <c r="C42" t="s">
        <v>29</v>
      </c>
      <c r="D42" t="s">
        <v>30</v>
      </c>
      <c r="E42" t="s">
        <v>70</v>
      </c>
      <c r="F42" t="s">
        <v>22</v>
      </c>
      <c r="G42" t="s">
        <v>37</v>
      </c>
      <c r="H42" t="s">
        <v>24</v>
      </c>
      <c r="I42">
        <v>1</v>
      </c>
      <c r="J42">
        <v>61320</v>
      </c>
      <c r="K42">
        <v>0.15</v>
      </c>
      <c r="L42" t="s">
        <v>68</v>
      </c>
      <c r="M42" t="s">
        <v>50</v>
      </c>
      <c r="N42" t="s">
        <v>27</v>
      </c>
      <c r="O42">
        <v>61320</v>
      </c>
      <c r="P42">
        <v>9198</v>
      </c>
      <c r="Q42">
        <v>52122</v>
      </c>
      <c r="R42">
        <v>7</v>
      </c>
    </row>
    <row r="43" spans="1:18">
      <c r="A43" t="s">
        <v>113</v>
      </c>
      <c r="B43" s="2">
        <v>45861</v>
      </c>
      <c r="C43" t="s">
        <v>19</v>
      </c>
      <c r="D43" t="s">
        <v>57</v>
      </c>
      <c r="E43" t="s">
        <v>70</v>
      </c>
      <c r="F43" t="s">
        <v>22</v>
      </c>
      <c r="G43" t="s">
        <v>62</v>
      </c>
      <c r="H43" t="s">
        <v>33</v>
      </c>
      <c r="I43">
        <v>1</v>
      </c>
      <c r="J43">
        <v>1740</v>
      </c>
      <c r="K43">
        <v>0.08</v>
      </c>
      <c r="L43" t="s">
        <v>34</v>
      </c>
      <c r="M43" t="s">
        <v>50</v>
      </c>
      <c r="N43" t="s">
        <v>27</v>
      </c>
      <c r="O43">
        <v>1740</v>
      </c>
      <c r="P43">
        <v>139.19999999999999</v>
      </c>
      <c r="Q43">
        <v>1600.8</v>
      </c>
      <c r="R43">
        <v>3</v>
      </c>
    </row>
    <row r="44" spans="1:18">
      <c r="A44" t="s">
        <v>114</v>
      </c>
      <c r="B44" s="2">
        <v>45861</v>
      </c>
      <c r="C44" t="s">
        <v>40</v>
      </c>
      <c r="D44" t="s">
        <v>115</v>
      </c>
      <c r="E44" t="s">
        <v>70</v>
      </c>
      <c r="F44" t="s">
        <v>22</v>
      </c>
      <c r="G44" t="s">
        <v>105</v>
      </c>
      <c r="H44" t="s">
        <v>24</v>
      </c>
      <c r="I44">
        <v>1</v>
      </c>
      <c r="J44">
        <v>3170</v>
      </c>
      <c r="K44">
        <v>0</v>
      </c>
      <c r="L44" t="s">
        <v>64</v>
      </c>
      <c r="M44" t="s">
        <v>38</v>
      </c>
      <c r="N44" t="s">
        <v>45</v>
      </c>
      <c r="O44">
        <v>0</v>
      </c>
      <c r="P44">
        <v>0</v>
      </c>
      <c r="Q44">
        <v>0</v>
      </c>
    </row>
    <row r="45" spans="1:18">
      <c r="A45" t="s">
        <v>116</v>
      </c>
      <c r="B45" s="2">
        <v>45861</v>
      </c>
      <c r="C45" t="s">
        <v>29</v>
      </c>
      <c r="D45" t="s">
        <v>78</v>
      </c>
      <c r="E45" t="s">
        <v>21</v>
      </c>
      <c r="F45" t="s">
        <v>22</v>
      </c>
      <c r="G45" t="s">
        <v>43</v>
      </c>
      <c r="H45" t="s">
        <v>33</v>
      </c>
      <c r="I45">
        <v>2</v>
      </c>
      <c r="J45">
        <v>880</v>
      </c>
      <c r="K45">
        <v>0.08</v>
      </c>
      <c r="L45" t="s">
        <v>68</v>
      </c>
      <c r="M45" t="s">
        <v>26</v>
      </c>
      <c r="N45" t="s">
        <v>27</v>
      </c>
      <c r="O45">
        <v>1760</v>
      </c>
      <c r="P45">
        <v>140.80000000000001</v>
      </c>
      <c r="Q45">
        <v>1619.2</v>
      </c>
      <c r="R45">
        <v>1</v>
      </c>
    </row>
    <row r="46" spans="1:18">
      <c r="A46" t="s">
        <v>117</v>
      </c>
      <c r="B46" s="2">
        <v>45861</v>
      </c>
      <c r="C46" t="s">
        <v>40</v>
      </c>
      <c r="D46" t="s">
        <v>47</v>
      </c>
      <c r="E46" t="s">
        <v>70</v>
      </c>
      <c r="F46" t="s">
        <v>53</v>
      </c>
      <c r="G46" t="s">
        <v>92</v>
      </c>
      <c r="H46" t="s">
        <v>24</v>
      </c>
      <c r="I46">
        <v>1</v>
      </c>
      <c r="J46">
        <v>17400</v>
      </c>
      <c r="K46">
        <v>0.05</v>
      </c>
      <c r="L46" t="s">
        <v>64</v>
      </c>
      <c r="M46" t="s">
        <v>55</v>
      </c>
      <c r="N46" t="s">
        <v>27</v>
      </c>
      <c r="O46">
        <v>17400</v>
      </c>
      <c r="P46">
        <v>870</v>
      </c>
      <c r="Q46">
        <v>16530</v>
      </c>
      <c r="R46">
        <v>3</v>
      </c>
    </row>
    <row r="47" spans="1:18">
      <c r="A47" t="s">
        <v>118</v>
      </c>
      <c r="B47" s="2">
        <v>45863</v>
      </c>
      <c r="C47" t="s">
        <v>29</v>
      </c>
      <c r="D47" t="s">
        <v>61</v>
      </c>
      <c r="E47" t="s">
        <v>42</v>
      </c>
      <c r="F47" t="s">
        <v>22</v>
      </c>
      <c r="G47" t="s">
        <v>105</v>
      </c>
      <c r="H47" t="s">
        <v>24</v>
      </c>
      <c r="I47">
        <v>1</v>
      </c>
      <c r="J47">
        <v>3030</v>
      </c>
      <c r="K47">
        <v>0.03</v>
      </c>
      <c r="L47" t="s">
        <v>34</v>
      </c>
      <c r="M47" t="s">
        <v>35</v>
      </c>
      <c r="N47" t="s">
        <v>27</v>
      </c>
      <c r="O47">
        <v>3030</v>
      </c>
      <c r="P47">
        <v>90.9</v>
      </c>
      <c r="Q47">
        <v>2939.1</v>
      </c>
      <c r="R47">
        <v>5</v>
      </c>
    </row>
    <row r="48" spans="1:18">
      <c r="A48" t="s">
        <v>119</v>
      </c>
      <c r="B48" s="2">
        <v>45863</v>
      </c>
      <c r="C48" t="s">
        <v>40</v>
      </c>
      <c r="D48" t="s">
        <v>115</v>
      </c>
      <c r="E48" t="s">
        <v>70</v>
      </c>
      <c r="F48" t="s">
        <v>31</v>
      </c>
      <c r="G48" t="s">
        <v>105</v>
      </c>
      <c r="H48" t="s">
        <v>24</v>
      </c>
      <c r="I48">
        <v>2</v>
      </c>
      <c r="J48">
        <v>3140</v>
      </c>
      <c r="K48">
        <v>0.1</v>
      </c>
      <c r="L48" t="s">
        <v>54</v>
      </c>
      <c r="M48" t="s">
        <v>55</v>
      </c>
      <c r="N48" t="s">
        <v>27</v>
      </c>
      <c r="O48">
        <v>6280</v>
      </c>
      <c r="P48">
        <v>628</v>
      </c>
      <c r="Q48">
        <v>5652</v>
      </c>
      <c r="R48">
        <v>2</v>
      </c>
    </row>
    <row r="49" spans="1:18">
      <c r="A49" t="s">
        <v>120</v>
      </c>
      <c r="B49" s="2">
        <v>45863</v>
      </c>
      <c r="C49" t="s">
        <v>29</v>
      </c>
      <c r="D49" t="s">
        <v>85</v>
      </c>
      <c r="E49" t="s">
        <v>70</v>
      </c>
      <c r="F49" t="s">
        <v>22</v>
      </c>
      <c r="G49" t="s">
        <v>37</v>
      </c>
      <c r="H49" t="s">
        <v>24</v>
      </c>
      <c r="I49">
        <v>2</v>
      </c>
      <c r="J49">
        <v>60000</v>
      </c>
      <c r="K49">
        <v>0.03</v>
      </c>
      <c r="L49" t="s">
        <v>64</v>
      </c>
      <c r="M49" t="s">
        <v>50</v>
      </c>
      <c r="N49" t="s">
        <v>27</v>
      </c>
      <c r="O49">
        <v>120000</v>
      </c>
      <c r="P49">
        <v>3600</v>
      </c>
      <c r="Q49">
        <v>116400</v>
      </c>
      <c r="R49">
        <v>2</v>
      </c>
    </row>
    <row r="50" spans="1:18">
      <c r="A50" t="s">
        <v>121</v>
      </c>
      <c r="B50" s="2">
        <v>45863</v>
      </c>
      <c r="C50" t="s">
        <v>82</v>
      </c>
      <c r="D50" t="s">
        <v>122</v>
      </c>
      <c r="E50" t="s">
        <v>21</v>
      </c>
      <c r="F50" t="s">
        <v>53</v>
      </c>
      <c r="G50" t="s">
        <v>37</v>
      </c>
      <c r="H50" t="s">
        <v>24</v>
      </c>
      <c r="I50">
        <v>1</v>
      </c>
      <c r="J50">
        <v>59470</v>
      </c>
      <c r="K50">
        <v>0.08</v>
      </c>
      <c r="L50" t="s">
        <v>54</v>
      </c>
      <c r="M50" t="s">
        <v>55</v>
      </c>
      <c r="N50" t="s">
        <v>27</v>
      </c>
      <c r="O50">
        <v>59470</v>
      </c>
      <c r="P50">
        <v>4757.6000000000004</v>
      </c>
      <c r="Q50">
        <v>54712.4</v>
      </c>
      <c r="R50">
        <v>1</v>
      </c>
    </row>
    <row r="51" spans="1:18">
      <c r="A51" t="s">
        <v>123</v>
      </c>
      <c r="B51" s="2">
        <v>45865</v>
      </c>
      <c r="C51" t="s">
        <v>19</v>
      </c>
      <c r="D51" t="s">
        <v>57</v>
      </c>
      <c r="E51" t="s">
        <v>42</v>
      </c>
      <c r="F51" t="s">
        <v>31</v>
      </c>
      <c r="G51" t="s">
        <v>37</v>
      </c>
      <c r="H51" t="s">
        <v>24</v>
      </c>
      <c r="I51">
        <v>1</v>
      </c>
      <c r="J51">
        <v>65160</v>
      </c>
      <c r="K51">
        <v>0</v>
      </c>
      <c r="L51" t="s">
        <v>68</v>
      </c>
      <c r="M51" t="s">
        <v>66</v>
      </c>
      <c r="N51" t="s">
        <v>27</v>
      </c>
      <c r="O51">
        <v>65160</v>
      </c>
      <c r="P51">
        <v>0</v>
      </c>
      <c r="Q51">
        <v>65160</v>
      </c>
      <c r="R51">
        <v>2</v>
      </c>
    </row>
    <row r="52" spans="1:18">
      <c r="A52" t="s">
        <v>124</v>
      </c>
      <c r="B52" s="2">
        <v>45865</v>
      </c>
      <c r="C52" t="s">
        <v>40</v>
      </c>
      <c r="D52" t="s">
        <v>41</v>
      </c>
      <c r="E52" t="s">
        <v>42</v>
      </c>
      <c r="F52" t="s">
        <v>31</v>
      </c>
      <c r="G52" t="s">
        <v>48</v>
      </c>
      <c r="H52" t="s">
        <v>49</v>
      </c>
      <c r="I52">
        <v>1</v>
      </c>
      <c r="J52">
        <v>13060</v>
      </c>
      <c r="K52">
        <v>0.08</v>
      </c>
      <c r="L52" t="s">
        <v>64</v>
      </c>
      <c r="M52" t="s">
        <v>44</v>
      </c>
      <c r="N52" t="s">
        <v>27</v>
      </c>
      <c r="O52">
        <v>13060</v>
      </c>
      <c r="P52">
        <v>1044.8</v>
      </c>
      <c r="Q52">
        <v>12015.2</v>
      </c>
      <c r="R52">
        <v>4</v>
      </c>
    </row>
    <row r="53" spans="1:18">
      <c r="A53" t="s">
        <v>125</v>
      </c>
      <c r="B53" s="2">
        <v>45865</v>
      </c>
      <c r="C53" t="s">
        <v>19</v>
      </c>
      <c r="D53" t="s">
        <v>20</v>
      </c>
      <c r="E53" t="s">
        <v>42</v>
      </c>
      <c r="F53" t="s">
        <v>22</v>
      </c>
      <c r="G53" t="s">
        <v>101</v>
      </c>
      <c r="H53" t="s">
        <v>33</v>
      </c>
      <c r="I53">
        <v>2</v>
      </c>
      <c r="J53">
        <v>1680</v>
      </c>
      <c r="K53">
        <v>0.03</v>
      </c>
      <c r="L53" t="s">
        <v>64</v>
      </c>
      <c r="M53" t="s">
        <v>38</v>
      </c>
      <c r="N53" t="s">
        <v>27</v>
      </c>
      <c r="O53">
        <v>3360</v>
      </c>
      <c r="P53">
        <v>100.8</v>
      </c>
      <c r="Q53">
        <v>3259.2</v>
      </c>
      <c r="R53">
        <v>4</v>
      </c>
    </row>
    <row r="54" spans="1:18">
      <c r="A54" t="s">
        <v>126</v>
      </c>
      <c r="B54" s="2">
        <v>45866</v>
      </c>
      <c r="C54" t="s">
        <v>40</v>
      </c>
      <c r="D54" t="s">
        <v>89</v>
      </c>
      <c r="E54" t="s">
        <v>21</v>
      </c>
      <c r="F54" t="s">
        <v>22</v>
      </c>
      <c r="G54" t="s">
        <v>37</v>
      </c>
      <c r="H54" t="s">
        <v>24</v>
      </c>
      <c r="I54">
        <v>3</v>
      </c>
      <c r="J54">
        <v>65510</v>
      </c>
      <c r="K54">
        <v>0.08</v>
      </c>
      <c r="L54" t="s">
        <v>68</v>
      </c>
      <c r="M54" t="s">
        <v>71</v>
      </c>
      <c r="N54" t="s">
        <v>27</v>
      </c>
      <c r="O54">
        <v>196530</v>
      </c>
      <c r="P54">
        <v>15722.4</v>
      </c>
      <c r="Q54">
        <v>180807.6</v>
      </c>
      <c r="R54">
        <v>3</v>
      </c>
    </row>
    <row r="55" spans="1:18">
      <c r="A55" t="s">
        <v>127</v>
      </c>
      <c r="B55" s="2">
        <v>45866</v>
      </c>
      <c r="C55" t="s">
        <v>29</v>
      </c>
      <c r="D55" t="s">
        <v>30</v>
      </c>
      <c r="E55" t="s">
        <v>42</v>
      </c>
      <c r="F55" t="s">
        <v>31</v>
      </c>
      <c r="G55" t="s">
        <v>105</v>
      </c>
      <c r="H55" t="s">
        <v>24</v>
      </c>
      <c r="I55">
        <v>5</v>
      </c>
      <c r="J55">
        <v>3320</v>
      </c>
      <c r="K55">
        <v>0.05</v>
      </c>
      <c r="L55" t="s">
        <v>64</v>
      </c>
      <c r="M55" t="s">
        <v>38</v>
      </c>
      <c r="N55" t="s">
        <v>27</v>
      </c>
      <c r="O55">
        <v>16600</v>
      </c>
      <c r="P55">
        <v>830</v>
      </c>
      <c r="Q55">
        <v>15770</v>
      </c>
      <c r="R55">
        <v>3</v>
      </c>
    </row>
    <row r="56" spans="1:18">
      <c r="A56" t="s">
        <v>128</v>
      </c>
      <c r="B56" s="2">
        <v>45866</v>
      </c>
      <c r="C56" t="s">
        <v>19</v>
      </c>
      <c r="D56" t="s">
        <v>57</v>
      </c>
      <c r="E56" t="s">
        <v>21</v>
      </c>
      <c r="F56" t="s">
        <v>53</v>
      </c>
      <c r="G56" t="s">
        <v>105</v>
      </c>
      <c r="H56" t="s">
        <v>24</v>
      </c>
      <c r="I56">
        <v>1</v>
      </c>
      <c r="J56">
        <v>3310</v>
      </c>
      <c r="K56">
        <v>0.05</v>
      </c>
      <c r="L56" t="s">
        <v>54</v>
      </c>
      <c r="M56" t="s">
        <v>71</v>
      </c>
      <c r="N56" t="s">
        <v>27</v>
      </c>
      <c r="O56">
        <v>3310</v>
      </c>
      <c r="P56">
        <v>165.5</v>
      </c>
      <c r="Q56">
        <v>3144.5</v>
      </c>
      <c r="R56">
        <v>4</v>
      </c>
    </row>
    <row r="57" spans="1:18">
      <c r="A57" t="s">
        <v>129</v>
      </c>
      <c r="B57" s="2">
        <v>45866</v>
      </c>
      <c r="C57" t="s">
        <v>19</v>
      </c>
      <c r="D57" t="s">
        <v>52</v>
      </c>
      <c r="E57" t="s">
        <v>42</v>
      </c>
      <c r="F57" t="s">
        <v>31</v>
      </c>
      <c r="G57" t="s">
        <v>58</v>
      </c>
      <c r="H57" t="s">
        <v>59</v>
      </c>
      <c r="I57">
        <v>3</v>
      </c>
      <c r="J57">
        <v>7540</v>
      </c>
      <c r="K57">
        <v>0.08</v>
      </c>
      <c r="L57" t="s">
        <v>25</v>
      </c>
      <c r="M57" t="s">
        <v>71</v>
      </c>
      <c r="N57" t="s">
        <v>130</v>
      </c>
      <c r="O57">
        <v>22620</v>
      </c>
      <c r="P57">
        <v>1809.6</v>
      </c>
      <c r="Q57">
        <v>20810.400000000001</v>
      </c>
      <c r="R57">
        <v>5</v>
      </c>
    </row>
    <row r="58" spans="1:18">
      <c r="A58" t="s">
        <v>131</v>
      </c>
      <c r="B58" s="2">
        <v>45867</v>
      </c>
      <c r="C58" t="s">
        <v>19</v>
      </c>
      <c r="D58" t="s">
        <v>103</v>
      </c>
      <c r="E58" t="s">
        <v>42</v>
      </c>
      <c r="F58" t="s">
        <v>22</v>
      </c>
      <c r="G58" t="s">
        <v>73</v>
      </c>
      <c r="H58" t="s">
        <v>74</v>
      </c>
      <c r="I58">
        <v>2</v>
      </c>
      <c r="J58">
        <v>10820</v>
      </c>
      <c r="K58">
        <v>0.05</v>
      </c>
      <c r="L58" t="s">
        <v>54</v>
      </c>
      <c r="M58" t="s">
        <v>50</v>
      </c>
      <c r="N58" t="s">
        <v>27</v>
      </c>
      <c r="O58">
        <v>21640</v>
      </c>
      <c r="P58">
        <v>1082</v>
      </c>
      <c r="Q58">
        <v>20558</v>
      </c>
      <c r="R58">
        <v>3</v>
      </c>
    </row>
    <row r="59" spans="1:18">
      <c r="A59" t="s">
        <v>132</v>
      </c>
      <c r="B59" s="2">
        <v>45868</v>
      </c>
      <c r="C59" t="s">
        <v>19</v>
      </c>
      <c r="D59" t="s">
        <v>57</v>
      </c>
      <c r="E59" t="s">
        <v>21</v>
      </c>
      <c r="F59" t="s">
        <v>22</v>
      </c>
      <c r="G59" t="s">
        <v>37</v>
      </c>
      <c r="H59" t="s">
        <v>24</v>
      </c>
      <c r="I59">
        <v>1</v>
      </c>
      <c r="J59">
        <v>57750</v>
      </c>
      <c r="K59">
        <v>0.05</v>
      </c>
      <c r="L59" t="s">
        <v>54</v>
      </c>
      <c r="M59" t="s">
        <v>38</v>
      </c>
      <c r="N59" t="s">
        <v>130</v>
      </c>
      <c r="O59">
        <v>57750</v>
      </c>
      <c r="P59">
        <v>2887.5</v>
      </c>
      <c r="Q59">
        <v>54862.5</v>
      </c>
      <c r="R59">
        <v>3</v>
      </c>
    </row>
    <row r="60" spans="1:18">
      <c r="A60" t="s">
        <v>133</v>
      </c>
      <c r="B60" s="2">
        <v>45868</v>
      </c>
      <c r="C60" t="s">
        <v>40</v>
      </c>
      <c r="D60" t="s">
        <v>89</v>
      </c>
      <c r="E60" t="s">
        <v>21</v>
      </c>
      <c r="F60" t="s">
        <v>22</v>
      </c>
      <c r="G60" t="s">
        <v>23</v>
      </c>
      <c r="H60" t="s">
        <v>24</v>
      </c>
      <c r="I60">
        <v>3</v>
      </c>
      <c r="J60">
        <v>26780</v>
      </c>
      <c r="K60">
        <v>0</v>
      </c>
      <c r="L60" t="s">
        <v>54</v>
      </c>
      <c r="M60" t="s">
        <v>66</v>
      </c>
      <c r="N60" t="s">
        <v>27</v>
      </c>
      <c r="O60">
        <v>80340</v>
      </c>
      <c r="P60">
        <v>0</v>
      </c>
      <c r="Q60">
        <v>80340</v>
      </c>
      <c r="R60">
        <v>2</v>
      </c>
    </row>
    <row r="61" spans="1:18">
      <c r="A61" t="s">
        <v>134</v>
      </c>
      <c r="B61" s="2">
        <v>45868</v>
      </c>
      <c r="C61" t="s">
        <v>29</v>
      </c>
      <c r="D61" t="s">
        <v>30</v>
      </c>
      <c r="E61" t="s">
        <v>42</v>
      </c>
      <c r="F61" t="s">
        <v>22</v>
      </c>
      <c r="G61" t="s">
        <v>95</v>
      </c>
      <c r="H61" t="s">
        <v>24</v>
      </c>
      <c r="I61">
        <v>4</v>
      </c>
      <c r="J61">
        <v>21760</v>
      </c>
      <c r="K61">
        <v>0.05</v>
      </c>
      <c r="L61" t="s">
        <v>68</v>
      </c>
      <c r="M61" t="s">
        <v>66</v>
      </c>
      <c r="N61" t="s">
        <v>27</v>
      </c>
      <c r="O61">
        <v>87040</v>
      </c>
      <c r="P61">
        <v>4352</v>
      </c>
      <c r="Q61">
        <v>82688</v>
      </c>
      <c r="R61">
        <v>4</v>
      </c>
    </row>
    <row r="62" spans="1:18">
      <c r="A62" t="s">
        <v>135</v>
      </c>
      <c r="B62" s="2">
        <v>45869</v>
      </c>
      <c r="C62" t="s">
        <v>19</v>
      </c>
      <c r="D62" t="s">
        <v>52</v>
      </c>
      <c r="E62" t="s">
        <v>42</v>
      </c>
      <c r="F62" t="s">
        <v>22</v>
      </c>
      <c r="G62" t="s">
        <v>43</v>
      </c>
      <c r="H62" t="s">
        <v>33</v>
      </c>
      <c r="I62">
        <v>3</v>
      </c>
      <c r="J62">
        <v>940</v>
      </c>
      <c r="K62">
        <v>0.03</v>
      </c>
      <c r="L62" t="s">
        <v>34</v>
      </c>
      <c r="M62" t="s">
        <v>26</v>
      </c>
      <c r="N62" t="s">
        <v>27</v>
      </c>
      <c r="O62">
        <v>2820</v>
      </c>
      <c r="P62">
        <v>84.6</v>
      </c>
      <c r="Q62">
        <v>2735.4</v>
      </c>
      <c r="R62">
        <v>4</v>
      </c>
    </row>
    <row r="63" spans="1:18">
      <c r="A63" t="s">
        <v>136</v>
      </c>
      <c r="B63" s="2">
        <v>45870</v>
      </c>
      <c r="C63" t="s">
        <v>29</v>
      </c>
      <c r="D63" t="s">
        <v>78</v>
      </c>
      <c r="E63" t="s">
        <v>21</v>
      </c>
      <c r="F63" t="s">
        <v>22</v>
      </c>
      <c r="G63" t="s">
        <v>92</v>
      </c>
      <c r="H63" t="s">
        <v>24</v>
      </c>
      <c r="I63">
        <v>4</v>
      </c>
      <c r="J63">
        <v>15510</v>
      </c>
      <c r="K63">
        <v>0</v>
      </c>
      <c r="L63" t="s">
        <v>64</v>
      </c>
      <c r="M63" t="s">
        <v>35</v>
      </c>
      <c r="N63" t="s">
        <v>27</v>
      </c>
      <c r="O63">
        <v>62040</v>
      </c>
      <c r="P63">
        <v>0</v>
      </c>
      <c r="Q63">
        <v>62040</v>
      </c>
      <c r="R63">
        <v>4</v>
      </c>
    </row>
    <row r="64" spans="1:18">
      <c r="A64" t="s">
        <v>137</v>
      </c>
      <c r="B64" s="2">
        <v>45870</v>
      </c>
      <c r="C64" t="s">
        <v>29</v>
      </c>
      <c r="D64" t="s">
        <v>61</v>
      </c>
      <c r="E64" t="s">
        <v>21</v>
      </c>
      <c r="F64" t="s">
        <v>31</v>
      </c>
      <c r="G64" t="s">
        <v>92</v>
      </c>
      <c r="H64" t="s">
        <v>24</v>
      </c>
      <c r="I64">
        <v>1</v>
      </c>
      <c r="J64">
        <v>17280</v>
      </c>
      <c r="K64">
        <v>0.03</v>
      </c>
      <c r="L64" t="s">
        <v>68</v>
      </c>
      <c r="M64" t="s">
        <v>71</v>
      </c>
      <c r="N64" t="s">
        <v>27</v>
      </c>
      <c r="O64">
        <v>17280</v>
      </c>
      <c r="P64">
        <v>518.4</v>
      </c>
      <c r="Q64">
        <v>16761.599999999999</v>
      </c>
      <c r="R64">
        <v>2</v>
      </c>
    </row>
    <row r="65" spans="1:18">
      <c r="A65" t="s">
        <v>138</v>
      </c>
      <c r="B65" s="2">
        <v>45870</v>
      </c>
      <c r="C65" t="s">
        <v>29</v>
      </c>
      <c r="D65" t="s">
        <v>30</v>
      </c>
      <c r="E65" t="s">
        <v>42</v>
      </c>
      <c r="F65" t="s">
        <v>22</v>
      </c>
      <c r="G65" t="s">
        <v>48</v>
      </c>
      <c r="H65" t="s">
        <v>49</v>
      </c>
      <c r="I65">
        <v>3</v>
      </c>
      <c r="J65">
        <v>12550</v>
      </c>
      <c r="K65">
        <v>0.1</v>
      </c>
      <c r="L65" t="s">
        <v>54</v>
      </c>
      <c r="M65" t="s">
        <v>35</v>
      </c>
      <c r="N65" t="s">
        <v>27</v>
      </c>
      <c r="O65">
        <v>37650</v>
      </c>
      <c r="P65">
        <v>3765</v>
      </c>
      <c r="Q65">
        <v>33885</v>
      </c>
      <c r="R65">
        <v>2</v>
      </c>
    </row>
    <row r="66" spans="1:18">
      <c r="A66" t="s">
        <v>139</v>
      </c>
      <c r="B66" s="2">
        <v>45872</v>
      </c>
      <c r="C66" t="s">
        <v>19</v>
      </c>
      <c r="D66" t="s">
        <v>103</v>
      </c>
      <c r="E66" t="s">
        <v>42</v>
      </c>
      <c r="F66" t="s">
        <v>22</v>
      </c>
      <c r="G66" t="s">
        <v>32</v>
      </c>
      <c r="H66" t="s">
        <v>33</v>
      </c>
      <c r="I66">
        <v>2</v>
      </c>
      <c r="J66">
        <v>2560</v>
      </c>
      <c r="K66">
        <v>0.05</v>
      </c>
      <c r="L66" t="s">
        <v>54</v>
      </c>
      <c r="M66" t="s">
        <v>55</v>
      </c>
      <c r="N66" t="s">
        <v>27</v>
      </c>
      <c r="O66">
        <v>5120</v>
      </c>
      <c r="P66">
        <v>256</v>
      </c>
      <c r="Q66">
        <v>4864</v>
      </c>
      <c r="R66">
        <v>3</v>
      </c>
    </row>
    <row r="67" spans="1:18">
      <c r="A67" t="s">
        <v>140</v>
      </c>
      <c r="B67" s="2">
        <v>45873</v>
      </c>
      <c r="C67" t="s">
        <v>19</v>
      </c>
      <c r="D67" t="s">
        <v>20</v>
      </c>
      <c r="E67" t="s">
        <v>42</v>
      </c>
      <c r="F67" t="s">
        <v>31</v>
      </c>
      <c r="G67" t="s">
        <v>32</v>
      </c>
      <c r="H67" t="s">
        <v>33</v>
      </c>
      <c r="I67">
        <v>3</v>
      </c>
      <c r="J67">
        <v>2500</v>
      </c>
      <c r="K67">
        <v>0</v>
      </c>
      <c r="L67" t="s">
        <v>64</v>
      </c>
      <c r="M67" t="s">
        <v>66</v>
      </c>
      <c r="N67" t="s">
        <v>27</v>
      </c>
      <c r="O67">
        <v>7500</v>
      </c>
      <c r="P67">
        <v>0</v>
      </c>
      <c r="Q67">
        <v>7500</v>
      </c>
      <c r="R67">
        <v>3</v>
      </c>
    </row>
    <row r="68" spans="1:18">
      <c r="A68" t="s">
        <v>141</v>
      </c>
      <c r="B68" s="2">
        <v>45873</v>
      </c>
      <c r="C68" t="s">
        <v>40</v>
      </c>
      <c r="D68" t="s">
        <v>89</v>
      </c>
      <c r="E68" t="s">
        <v>70</v>
      </c>
      <c r="F68" t="s">
        <v>31</v>
      </c>
      <c r="G68" t="s">
        <v>92</v>
      </c>
      <c r="H68" t="s">
        <v>24</v>
      </c>
      <c r="I68">
        <v>2</v>
      </c>
      <c r="J68">
        <v>16570</v>
      </c>
      <c r="K68">
        <v>0.05</v>
      </c>
      <c r="L68" t="s">
        <v>64</v>
      </c>
      <c r="M68" t="s">
        <v>50</v>
      </c>
      <c r="N68" t="s">
        <v>27</v>
      </c>
      <c r="O68">
        <v>33140</v>
      </c>
      <c r="P68">
        <v>1657</v>
      </c>
      <c r="Q68">
        <v>31483</v>
      </c>
      <c r="R68">
        <v>5</v>
      </c>
    </row>
    <row r="69" spans="1:18">
      <c r="A69" t="s">
        <v>142</v>
      </c>
      <c r="B69" s="2">
        <v>45873</v>
      </c>
      <c r="C69" t="s">
        <v>19</v>
      </c>
      <c r="D69" t="s">
        <v>57</v>
      </c>
      <c r="E69" t="s">
        <v>42</v>
      </c>
      <c r="F69" t="s">
        <v>22</v>
      </c>
      <c r="G69" t="s">
        <v>62</v>
      </c>
      <c r="H69" t="s">
        <v>33</v>
      </c>
      <c r="I69">
        <v>3</v>
      </c>
      <c r="J69">
        <v>1850</v>
      </c>
      <c r="K69">
        <v>0.05</v>
      </c>
      <c r="L69" t="s">
        <v>64</v>
      </c>
      <c r="M69" t="s">
        <v>55</v>
      </c>
      <c r="N69" t="s">
        <v>27</v>
      </c>
      <c r="O69">
        <v>5550</v>
      </c>
      <c r="P69">
        <v>277.5</v>
      </c>
      <c r="Q69">
        <v>5272.5</v>
      </c>
      <c r="R69">
        <v>3</v>
      </c>
    </row>
    <row r="70" spans="1:18">
      <c r="A70" t="s">
        <v>143</v>
      </c>
      <c r="B70" s="2">
        <v>45874</v>
      </c>
      <c r="C70" t="s">
        <v>40</v>
      </c>
      <c r="D70" t="s">
        <v>115</v>
      </c>
      <c r="E70" t="s">
        <v>70</v>
      </c>
      <c r="F70" t="s">
        <v>31</v>
      </c>
      <c r="G70" t="s">
        <v>105</v>
      </c>
      <c r="H70" t="s">
        <v>24</v>
      </c>
      <c r="I70">
        <v>4</v>
      </c>
      <c r="J70">
        <v>3100</v>
      </c>
      <c r="K70">
        <v>0.05</v>
      </c>
      <c r="L70" t="s">
        <v>25</v>
      </c>
      <c r="M70" t="s">
        <v>38</v>
      </c>
      <c r="N70" t="s">
        <v>27</v>
      </c>
      <c r="O70">
        <v>12400</v>
      </c>
      <c r="P70">
        <v>620</v>
      </c>
      <c r="Q70">
        <v>11780</v>
      </c>
      <c r="R70">
        <v>2</v>
      </c>
    </row>
    <row r="71" spans="1:18">
      <c r="A71" t="s">
        <v>144</v>
      </c>
      <c r="B71" s="2">
        <v>45874</v>
      </c>
      <c r="C71" t="s">
        <v>82</v>
      </c>
      <c r="D71" t="s">
        <v>122</v>
      </c>
      <c r="E71" t="s">
        <v>21</v>
      </c>
      <c r="F71" t="s">
        <v>22</v>
      </c>
      <c r="G71" t="s">
        <v>58</v>
      </c>
      <c r="H71" t="s">
        <v>59</v>
      </c>
      <c r="I71">
        <v>4</v>
      </c>
      <c r="J71">
        <v>7300</v>
      </c>
      <c r="K71">
        <v>0.1</v>
      </c>
      <c r="L71" t="s">
        <v>64</v>
      </c>
      <c r="M71" t="s">
        <v>35</v>
      </c>
      <c r="N71" t="s">
        <v>27</v>
      </c>
      <c r="O71">
        <v>29200</v>
      </c>
      <c r="P71">
        <v>2920</v>
      </c>
      <c r="Q71">
        <v>26280</v>
      </c>
      <c r="R71">
        <v>2</v>
      </c>
    </row>
    <row r="72" spans="1:18">
      <c r="A72" t="s">
        <v>145</v>
      </c>
      <c r="B72" s="2">
        <v>45874</v>
      </c>
      <c r="C72" t="s">
        <v>29</v>
      </c>
      <c r="D72" t="s">
        <v>85</v>
      </c>
      <c r="E72" t="s">
        <v>42</v>
      </c>
      <c r="F72" t="s">
        <v>31</v>
      </c>
      <c r="G72" t="s">
        <v>92</v>
      </c>
      <c r="H72" t="s">
        <v>24</v>
      </c>
      <c r="I72">
        <v>2</v>
      </c>
      <c r="J72">
        <v>15730</v>
      </c>
      <c r="K72">
        <v>0.05</v>
      </c>
      <c r="L72" t="s">
        <v>25</v>
      </c>
      <c r="M72" t="s">
        <v>26</v>
      </c>
      <c r="N72" t="s">
        <v>27</v>
      </c>
      <c r="O72">
        <v>31460</v>
      </c>
      <c r="P72">
        <v>1573</v>
      </c>
      <c r="Q72">
        <v>29887</v>
      </c>
      <c r="R72">
        <v>4</v>
      </c>
    </row>
    <row r="73" spans="1:18">
      <c r="A73" t="s">
        <v>146</v>
      </c>
      <c r="B73" s="2">
        <v>45875</v>
      </c>
      <c r="C73" t="s">
        <v>29</v>
      </c>
      <c r="D73" t="s">
        <v>85</v>
      </c>
      <c r="E73" t="s">
        <v>21</v>
      </c>
      <c r="F73" t="s">
        <v>31</v>
      </c>
      <c r="G73" t="s">
        <v>58</v>
      </c>
      <c r="H73" t="s">
        <v>59</v>
      </c>
      <c r="I73">
        <v>1</v>
      </c>
      <c r="J73">
        <v>6950</v>
      </c>
      <c r="K73">
        <v>0.05</v>
      </c>
      <c r="L73" t="s">
        <v>64</v>
      </c>
      <c r="M73" t="s">
        <v>50</v>
      </c>
      <c r="N73" t="s">
        <v>27</v>
      </c>
      <c r="O73">
        <v>6950</v>
      </c>
      <c r="P73">
        <v>347.5</v>
      </c>
      <c r="Q73">
        <v>6602.5</v>
      </c>
      <c r="R73">
        <v>5</v>
      </c>
    </row>
    <row r="74" spans="1:18">
      <c r="A74" t="s">
        <v>147</v>
      </c>
      <c r="B74" s="2">
        <v>45875</v>
      </c>
      <c r="C74" t="s">
        <v>29</v>
      </c>
      <c r="D74" t="s">
        <v>30</v>
      </c>
      <c r="E74" t="s">
        <v>42</v>
      </c>
      <c r="F74" t="s">
        <v>22</v>
      </c>
      <c r="G74" t="s">
        <v>92</v>
      </c>
      <c r="H74" t="s">
        <v>24</v>
      </c>
      <c r="I74">
        <v>1</v>
      </c>
      <c r="J74">
        <v>15970</v>
      </c>
      <c r="K74">
        <v>0</v>
      </c>
      <c r="L74" t="s">
        <v>68</v>
      </c>
      <c r="M74" t="s">
        <v>38</v>
      </c>
      <c r="N74" t="s">
        <v>27</v>
      </c>
      <c r="O74">
        <v>15970</v>
      </c>
      <c r="P74">
        <v>0</v>
      </c>
      <c r="Q74">
        <v>15970</v>
      </c>
      <c r="R74">
        <v>6</v>
      </c>
    </row>
    <row r="75" spans="1:18">
      <c r="A75" t="s">
        <v>148</v>
      </c>
      <c r="B75" s="2">
        <v>45875</v>
      </c>
      <c r="C75" t="s">
        <v>19</v>
      </c>
      <c r="E75" t="s">
        <v>70</v>
      </c>
      <c r="F75" t="s">
        <v>31</v>
      </c>
      <c r="G75" t="s">
        <v>149</v>
      </c>
      <c r="H75" t="s">
        <v>33</v>
      </c>
      <c r="I75">
        <v>1</v>
      </c>
      <c r="J75">
        <v>3670</v>
      </c>
      <c r="K75">
        <v>0</v>
      </c>
      <c r="L75" t="s">
        <v>54</v>
      </c>
      <c r="M75" t="s">
        <v>35</v>
      </c>
      <c r="N75" t="s">
        <v>27</v>
      </c>
      <c r="O75">
        <v>3670</v>
      </c>
      <c r="P75">
        <v>0</v>
      </c>
      <c r="Q75">
        <v>3670</v>
      </c>
      <c r="R75">
        <v>2</v>
      </c>
    </row>
    <row r="76" spans="1:18">
      <c r="A76" t="s">
        <v>150</v>
      </c>
      <c r="B76" s="2">
        <v>45877</v>
      </c>
      <c r="C76" t="s">
        <v>40</v>
      </c>
      <c r="D76" t="s">
        <v>89</v>
      </c>
      <c r="E76" t="s">
        <v>70</v>
      </c>
      <c r="F76" t="s">
        <v>31</v>
      </c>
      <c r="G76" t="s">
        <v>149</v>
      </c>
      <c r="H76" t="s">
        <v>33</v>
      </c>
      <c r="I76">
        <v>3</v>
      </c>
      <c r="J76">
        <v>3770</v>
      </c>
      <c r="K76">
        <v>0.03</v>
      </c>
      <c r="L76" t="s">
        <v>64</v>
      </c>
      <c r="M76" t="s">
        <v>55</v>
      </c>
      <c r="N76" t="s">
        <v>27</v>
      </c>
      <c r="O76">
        <v>11310</v>
      </c>
      <c r="P76">
        <v>339.3</v>
      </c>
      <c r="Q76">
        <v>10970.7</v>
      </c>
      <c r="R76">
        <v>2</v>
      </c>
    </row>
    <row r="77" spans="1:18">
      <c r="A77" t="s">
        <v>151</v>
      </c>
      <c r="B77" s="2">
        <v>45877</v>
      </c>
      <c r="C77" t="s">
        <v>19</v>
      </c>
      <c r="D77" t="s">
        <v>57</v>
      </c>
      <c r="E77" t="s">
        <v>70</v>
      </c>
      <c r="F77" t="s">
        <v>22</v>
      </c>
      <c r="G77" t="s">
        <v>152</v>
      </c>
      <c r="H77" t="s">
        <v>74</v>
      </c>
      <c r="I77">
        <v>5</v>
      </c>
      <c r="J77">
        <v>14360</v>
      </c>
      <c r="K77">
        <v>0.1</v>
      </c>
      <c r="L77" t="s">
        <v>54</v>
      </c>
      <c r="M77" t="s">
        <v>26</v>
      </c>
      <c r="N77" t="s">
        <v>27</v>
      </c>
      <c r="O77">
        <v>71800</v>
      </c>
      <c r="P77">
        <v>7180</v>
      </c>
      <c r="Q77">
        <v>64620</v>
      </c>
      <c r="R77">
        <v>5</v>
      </c>
    </row>
    <row r="78" spans="1:18">
      <c r="A78" t="s">
        <v>153</v>
      </c>
      <c r="B78" s="2">
        <v>45877</v>
      </c>
      <c r="C78" t="s">
        <v>19</v>
      </c>
      <c r="D78" t="s">
        <v>20</v>
      </c>
      <c r="E78" t="s">
        <v>21</v>
      </c>
      <c r="F78" t="s">
        <v>22</v>
      </c>
      <c r="G78" t="s">
        <v>105</v>
      </c>
      <c r="H78" t="s">
        <v>24</v>
      </c>
      <c r="I78">
        <v>4</v>
      </c>
      <c r="J78">
        <v>3120</v>
      </c>
      <c r="K78">
        <v>0.05</v>
      </c>
      <c r="L78" t="s">
        <v>54</v>
      </c>
      <c r="M78" t="s">
        <v>71</v>
      </c>
      <c r="N78" t="s">
        <v>27</v>
      </c>
      <c r="O78">
        <v>12480</v>
      </c>
      <c r="P78">
        <v>624</v>
      </c>
      <c r="Q78">
        <v>11856</v>
      </c>
      <c r="R78">
        <v>3</v>
      </c>
    </row>
    <row r="79" spans="1:18">
      <c r="A79" t="s">
        <v>154</v>
      </c>
      <c r="B79" s="2">
        <v>45879</v>
      </c>
      <c r="C79" t="s">
        <v>82</v>
      </c>
      <c r="D79" t="s">
        <v>122</v>
      </c>
      <c r="E79" t="s">
        <v>42</v>
      </c>
      <c r="F79" t="s">
        <v>22</v>
      </c>
      <c r="G79" t="s">
        <v>43</v>
      </c>
      <c r="H79" t="s">
        <v>33</v>
      </c>
      <c r="I79">
        <v>3</v>
      </c>
      <c r="J79">
        <v>960</v>
      </c>
      <c r="K79">
        <v>0.15</v>
      </c>
      <c r="L79" t="s">
        <v>25</v>
      </c>
      <c r="M79" t="s">
        <v>50</v>
      </c>
      <c r="N79" t="s">
        <v>27</v>
      </c>
      <c r="O79">
        <v>2880</v>
      </c>
      <c r="P79">
        <v>432</v>
      </c>
      <c r="Q79">
        <v>2448</v>
      </c>
      <c r="R79">
        <v>6</v>
      </c>
    </row>
    <row r="80" spans="1:18">
      <c r="A80" t="s">
        <v>155</v>
      </c>
      <c r="B80" s="2">
        <v>45879</v>
      </c>
      <c r="C80" t="s">
        <v>40</v>
      </c>
      <c r="D80" t="s">
        <v>89</v>
      </c>
      <c r="E80" t="s">
        <v>42</v>
      </c>
      <c r="F80" t="s">
        <v>22</v>
      </c>
      <c r="G80" t="s">
        <v>43</v>
      </c>
      <c r="H80" t="s">
        <v>33</v>
      </c>
      <c r="I80">
        <v>2</v>
      </c>
      <c r="J80">
        <v>920</v>
      </c>
      <c r="K80">
        <v>0.08</v>
      </c>
      <c r="L80" t="s">
        <v>64</v>
      </c>
      <c r="M80" t="s">
        <v>38</v>
      </c>
      <c r="N80" t="s">
        <v>27</v>
      </c>
      <c r="O80">
        <v>1840</v>
      </c>
      <c r="P80">
        <v>147.19999999999999</v>
      </c>
      <c r="Q80">
        <v>1692.8</v>
      </c>
      <c r="R80">
        <v>5</v>
      </c>
    </row>
    <row r="81" spans="1:18">
      <c r="A81" t="s">
        <v>156</v>
      </c>
      <c r="B81" s="2">
        <v>45879</v>
      </c>
      <c r="C81" t="s">
        <v>40</v>
      </c>
      <c r="D81" t="s">
        <v>115</v>
      </c>
      <c r="E81" t="s">
        <v>21</v>
      </c>
      <c r="F81" t="s">
        <v>22</v>
      </c>
      <c r="G81" t="s">
        <v>101</v>
      </c>
      <c r="H81" t="s">
        <v>33</v>
      </c>
      <c r="I81">
        <v>1</v>
      </c>
      <c r="J81">
        <v>1900</v>
      </c>
      <c r="K81">
        <v>0.1</v>
      </c>
      <c r="L81" t="s">
        <v>34</v>
      </c>
      <c r="M81" t="s">
        <v>35</v>
      </c>
      <c r="N81" t="s">
        <v>27</v>
      </c>
      <c r="O81">
        <v>1900</v>
      </c>
      <c r="P81">
        <v>190</v>
      </c>
      <c r="Q81">
        <v>1710</v>
      </c>
      <c r="R81">
        <v>4</v>
      </c>
    </row>
    <row r="82" spans="1:18">
      <c r="A82" t="s">
        <v>157</v>
      </c>
      <c r="B82" s="2">
        <v>45880</v>
      </c>
      <c r="C82" t="s">
        <v>29</v>
      </c>
      <c r="D82" t="s">
        <v>78</v>
      </c>
      <c r="E82" t="s">
        <v>42</v>
      </c>
      <c r="F82" t="s">
        <v>22</v>
      </c>
      <c r="G82" t="s">
        <v>62</v>
      </c>
      <c r="H82" t="s">
        <v>33</v>
      </c>
      <c r="I82">
        <v>1</v>
      </c>
      <c r="J82">
        <v>1900</v>
      </c>
      <c r="K82">
        <v>0.05</v>
      </c>
      <c r="L82" t="s">
        <v>64</v>
      </c>
      <c r="M82" t="s">
        <v>35</v>
      </c>
      <c r="N82" t="s">
        <v>27</v>
      </c>
      <c r="O82">
        <v>1900</v>
      </c>
      <c r="P82">
        <v>95</v>
      </c>
      <c r="Q82">
        <v>1805</v>
      </c>
      <c r="R82">
        <v>4</v>
      </c>
    </row>
    <row r="83" spans="1:18">
      <c r="A83" t="s">
        <v>158</v>
      </c>
      <c r="B83" s="2">
        <v>45880</v>
      </c>
      <c r="C83" t="s">
        <v>29</v>
      </c>
      <c r="D83" t="s">
        <v>85</v>
      </c>
      <c r="E83" t="s">
        <v>70</v>
      </c>
      <c r="F83" t="s">
        <v>22</v>
      </c>
      <c r="G83" t="s">
        <v>152</v>
      </c>
      <c r="H83" t="s">
        <v>74</v>
      </c>
      <c r="I83">
        <v>1</v>
      </c>
      <c r="J83">
        <v>14010</v>
      </c>
      <c r="K83">
        <v>0</v>
      </c>
      <c r="L83" t="s">
        <v>68</v>
      </c>
      <c r="M83" t="s">
        <v>71</v>
      </c>
      <c r="N83" t="s">
        <v>27</v>
      </c>
      <c r="O83">
        <v>14010</v>
      </c>
      <c r="P83">
        <v>0</v>
      </c>
      <c r="Q83">
        <v>14010</v>
      </c>
      <c r="R83">
        <v>1</v>
      </c>
    </row>
    <row r="84" spans="1:18">
      <c r="A84" t="s">
        <v>159</v>
      </c>
      <c r="B84" s="2">
        <v>45881</v>
      </c>
      <c r="C84" t="s">
        <v>40</v>
      </c>
      <c r="D84" t="s">
        <v>41</v>
      </c>
      <c r="E84" t="s">
        <v>70</v>
      </c>
      <c r="F84" t="s">
        <v>22</v>
      </c>
      <c r="G84" t="s">
        <v>149</v>
      </c>
      <c r="H84" t="s">
        <v>33</v>
      </c>
      <c r="I84">
        <v>1</v>
      </c>
      <c r="J84">
        <v>3390</v>
      </c>
      <c r="K84">
        <v>0.1</v>
      </c>
      <c r="L84" t="s">
        <v>64</v>
      </c>
      <c r="M84" t="s">
        <v>71</v>
      </c>
      <c r="N84" t="s">
        <v>27</v>
      </c>
      <c r="O84">
        <v>3390</v>
      </c>
      <c r="P84">
        <v>339</v>
      </c>
      <c r="Q84">
        <v>3051</v>
      </c>
      <c r="R84">
        <v>2</v>
      </c>
    </row>
    <row r="85" spans="1:18">
      <c r="A85" t="s">
        <v>160</v>
      </c>
      <c r="B85" s="2">
        <v>45881</v>
      </c>
      <c r="C85" t="s">
        <v>19</v>
      </c>
      <c r="D85" t="s">
        <v>20</v>
      </c>
      <c r="E85" t="s">
        <v>42</v>
      </c>
      <c r="F85" t="s">
        <v>22</v>
      </c>
      <c r="G85" t="s">
        <v>73</v>
      </c>
      <c r="H85" t="s">
        <v>74</v>
      </c>
      <c r="I85">
        <v>1</v>
      </c>
      <c r="J85">
        <v>11610</v>
      </c>
      <c r="K85">
        <v>0</v>
      </c>
      <c r="L85" t="s">
        <v>64</v>
      </c>
      <c r="M85" t="s">
        <v>71</v>
      </c>
      <c r="N85" t="s">
        <v>27</v>
      </c>
      <c r="O85">
        <v>11610</v>
      </c>
      <c r="P85">
        <v>0</v>
      </c>
      <c r="Q85">
        <v>11610</v>
      </c>
      <c r="R85">
        <v>6</v>
      </c>
    </row>
    <row r="86" spans="1:18">
      <c r="A86" t="s">
        <v>161</v>
      </c>
      <c r="B86" s="2">
        <v>45882</v>
      </c>
      <c r="C86" t="s">
        <v>29</v>
      </c>
      <c r="D86" t="s">
        <v>61</v>
      </c>
      <c r="E86" t="s">
        <v>42</v>
      </c>
      <c r="F86" t="s">
        <v>31</v>
      </c>
      <c r="G86" t="s">
        <v>37</v>
      </c>
      <c r="H86" t="s">
        <v>24</v>
      </c>
      <c r="I86">
        <v>4</v>
      </c>
      <c r="J86">
        <v>63800</v>
      </c>
      <c r="K86">
        <v>0.1</v>
      </c>
      <c r="L86" t="s">
        <v>25</v>
      </c>
      <c r="M86" t="s">
        <v>26</v>
      </c>
      <c r="N86" t="s">
        <v>27</v>
      </c>
      <c r="O86">
        <v>255200</v>
      </c>
      <c r="P86">
        <v>25520</v>
      </c>
      <c r="Q86">
        <v>229680</v>
      </c>
      <c r="R86">
        <v>5</v>
      </c>
    </row>
    <row r="87" spans="1:18">
      <c r="A87" t="s">
        <v>162</v>
      </c>
      <c r="B87" s="2">
        <v>45883</v>
      </c>
      <c r="C87" t="s">
        <v>40</v>
      </c>
      <c r="D87" t="s">
        <v>89</v>
      </c>
      <c r="E87" t="s">
        <v>21</v>
      </c>
      <c r="F87" t="s">
        <v>53</v>
      </c>
      <c r="G87" t="s">
        <v>48</v>
      </c>
      <c r="H87" t="s">
        <v>49</v>
      </c>
      <c r="I87">
        <v>1</v>
      </c>
      <c r="J87">
        <v>12800</v>
      </c>
      <c r="K87">
        <v>0.05</v>
      </c>
      <c r="L87" t="s">
        <v>54</v>
      </c>
      <c r="M87" t="s">
        <v>44</v>
      </c>
      <c r="N87" t="s">
        <v>27</v>
      </c>
      <c r="O87">
        <v>12800</v>
      </c>
      <c r="P87">
        <v>640</v>
      </c>
      <c r="Q87">
        <v>12160</v>
      </c>
      <c r="R87">
        <v>1</v>
      </c>
    </row>
    <row r="88" spans="1:18">
      <c r="A88" t="s">
        <v>163</v>
      </c>
      <c r="B88" s="2">
        <v>45883</v>
      </c>
      <c r="C88" t="s">
        <v>40</v>
      </c>
      <c r="D88" t="s">
        <v>47</v>
      </c>
      <c r="E88" t="s">
        <v>42</v>
      </c>
      <c r="F88" t="s">
        <v>31</v>
      </c>
      <c r="G88" t="s">
        <v>23</v>
      </c>
      <c r="H88" t="s">
        <v>24</v>
      </c>
      <c r="I88">
        <v>1</v>
      </c>
      <c r="J88">
        <v>29540</v>
      </c>
      <c r="K88">
        <v>0.05</v>
      </c>
      <c r="L88" t="s">
        <v>64</v>
      </c>
      <c r="M88" t="s">
        <v>35</v>
      </c>
      <c r="N88" t="s">
        <v>27</v>
      </c>
      <c r="O88">
        <v>29540</v>
      </c>
      <c r="P88">
        <v>1477</v>
      </c>
      <c r="Q88">
        <v>28063</v>
      </c>
      <c r="R88">
        <v>4</v>
      </c>
    </row>
    <row r="89" spans="1:18">
      <c r="A89" t="s">
        <v>164</v>
      </c>
      <c r="B89" s="2">
        <v>45883</v>
      </c>
      <c r="C89" t="s">
        <v>82</v>
      </c>
      <c r="D89" t="s">
        <v>122</v>
      </c>
      <c r="E89" t="s">
        <v>21</v>
      </c>
      <c r="F89" t="s">
        <v>22</v>
      </c>
      <c r="G89" t="s">
        <v>62</v>
      </c>
      <c r="H89" t="s">
        <v>33</v>
      </c>
      <c r="I89">
        <v>3</v>
      </c>
      <c r="J89">
        <v>1800</v>
      </c>
      <c r="K89">
        <v>0</v>
      </c>
      <c r="L89" t="s">
        <v>64</v>
      </c>
      <c r="M89" t="s">
        <v>50</v>
      </c>
      <c r="N89" t="s">
        <v>27</v>
      </c>
      <c r="O89">
        <v>5400</v>
      </c>
      <c r="P89">
        <v>0</v>
      </c>
      <c r="Q89">
        <v>5400</v>
      </c>
      <c r="R89">
        <v>3</v>
      </c>
    </row>
    <row r="90" spans="1:18">
      <c r="A90" t="s">
        <v>165</v>
      </c>
      <c r="B90" s="2">
        <v>45884</v>
      </c>
      <c r="C90" t="s">
        <v>19</v>
      </c>
      <c r="D90" t="s">
        <v>20</v>
      </c>
      <c r="E90" t="s">
        <v>21</v>
      </c>
      <c r="F90" t="s">
        <v>22</v>
      </c>
      <c r="G90" t="s">
        <v>149</v>
      </c>
      <c r="H90" t="s">
        <v>33</v>
      </c>
      <c r="I90">
        <v>4</v>
      </c>
      <c r="J90">
        <v>3690</v>
      </c>
      <c r="K90">
        <v>0</v>
      </c>
      <c r="L90" t="s">
        <v>25</v>
      </c>
      <c r="M90" t="s">
        <v>35</v>
      </c>
      <c r="N90" t="s">
        <v>27</v>
      </c>
      <c r="O90">
        <v>14760</v>
      </c>
      <c r="P90">
        <v>0</v>
      </c>
      <c r="Q90">
        <v>14760</v>
      </c>
      <c r="R90">
        <v>3</v>
      </c>
    </row>
    <row r="91" spans="1:18">
      <c r="A91" t="s">
        <v>166</v>
      </c>
      <c r="B91" s="2">
        <v>45885</v>
      </c>
      <c r="C91" t="s">
        <v>29</v>
      </c>
      <c r="D91" t="s">
        <v>30</v>
      </c>
      <c r="E91" t="s">
        <v>21</v>
      </c>
      <c r="F91" t="s">
        <v>22</v>
      </c>
      <c r="G91" t="s">
        <v>37</v>
      </c>
      <c r="H91" t="s">
        <v>24</v>
      </c>
      <c r="I91">
        <v>3</v>
      </c>
      <c r="J91">
        <v>59340</v>
      </c>
      <c r="K91">
        <v>0.1</v>
      </c>
      <c r="L91" t="s">
        <v>54</v>
      </c>
      <c r="M91" t="s">
        <v>50</v>
      </c>
      <c r="N91" t="s">
        <v>27</v>
      </c>
      <c r="O91">
        <v>178020</v>
      </c>
      <c r="P91">
        <v>17802</v>
      </c>
      <c r="Q91">
        <v>160218</v>
      </c>
      <c r="R91">
        <v>2</v>
      </c>
    </row>
    <row r="92" spans="1:18">
      <c r="A92" t="s">
        <v>167</v>
      </c>
      <c r="B92" s="2">
        <v>45887</v>
      </c>
      <c r="C92" t="s">
        <v>40</v>
      </c>
      <c r="D92" t="s">
        <v>115</v>
      </c>
      <c r="E92" t="s">
        <v>42</v>
      </c>
      <c r="F92" t="s">
        <v>22</v>
      </c>
      <c r="G92" t="s">
        <v>101</v>
      </c>
      <c r="H92" t="s">
        <v>33</v>
      </c>
      <c r="I92">
        <v>1</v>
      </c>
      <c r="J92">
        <v>1740</v>
      </c>
      <c r="K92">
        <v>0.15</v>
      </c>
      <c r="L92" t="s">
        <v>34</v>
      </c>
      <c r="M92" t="s">
        <v>50</v>
      </c>
      <c r="N92" t="s">
        <v>27</v>
      </c>
      <c r="O92">
        <v>1740</v>
      </c>
      <c r="P92">
        <v>261</v>
      </c>
      <c r="Q92">
        <v>1479</v>
      </c>
      <c r="R92">
        <v>5</v>
      </c>
    </row>
    <row r="93" spans="1:18">
      <c r="A93" t="s">
        <v>168</v>
      </c>
      <c r="B93" s="2">
        <v>45887</v>
      </c>
      <c r="C93" t="s">
        <v>29</v>
      </c>
      <c r="D93" t="s">
        <v>30</v>
      </c>
      <c r="E93" t="s">
        <v>21</v>
      </c>
      <c r="F93" t="s">
        <v>31</v>
      </c>
      <c r="G93" t="s">
        <v>62</v>
      </c>
      <c r="H93" t="s">
        <v>33</v>
      </c>
      <c r="I93">
        <v>2</v>
      </c>
      <c r="J93">
        <v>1820</v>
      </c>
      <c r="K93">
        <v>0.08</v>
      </c>
      <c r="L93" t="s">
        <v>68</v>
      </c>
      <c r="M93" t="s">
        <v>50</v>
      </c>
      <c r="N93" t="s">
        <v>27</v>
      </c>
      <c r="O93">
        <v>3640</v>
      </c>
      <c r="P93">
        <v>291.2</v>
      </c>
      <c r="Q93">
        <v>3348.8</v>
      </c>
      <c r="R93">
        <v>6</v>
      </c>
    </row>
    <row r="94" spans="1:18">
      <c r="A94" t="s">
        <v>169</v>
      </c>
      <c r="B94" s="2">
        <v>45888</v>
      </c>
      <c r="C94" t="s">
        <v>19</v>
      </c>
      <c r="D94" t="s">
        <v>103</v>
      </c>
      <c r="E94" t="s">
        <v>42</v>
      </c>
      <c r="F94" t="s">
        <v>31</v>
      </c>
      <c r="G94" t="s">
        <v>73</v>
      </c>
      <c r="H94" t="s">
        <v>74</v>
      </c>
      <c r="I94">
        <v>3</v>
      </c>
      <c r="J94">
        <v>11710</v>
      </c>
      <c r="K94">
        <v>0.03</v>
      </c>
      <c r="L94" t="s">
        <v>54</v>
      </c>
      <c r="M94" t="s">
        <v>71</v>
      </c>
      <c r="N94" t="s">
        <v>27</v>
      </c>
      <c r="O94">
        <v>35130</v>
      </c>
      <c r="P94">
        <v>1053.9000000000001</v>
      </c>
      <c r="Q94">
        <v>34076.1</v>
      </c>
      <c r="R94">
        <v>4</v>
      </c>
    </row>
    <row r="95" spans="1:18">
      <c r="A95" t="s">
        <v>170</v>
      </c>
      <c r="B95" s="2">
        <v>45889</v>
      </c>
      <c r="C95" t="s">
        <v>29</v>
      </c>
      <c r="D95" t="s">
        <v>78</v>
      </c>
      <c r="E95" t="s">
        <v>21</v>
      </c>
      <c r="F95" t="s">
        <v>31</v>
      </c>
      <c r="G95" t="s">
        <v>73</v>
      </c>
      <c r="H95" t="s">
        <v>74</v>
      </c>
      <c r="I95">
        <v>2</v>
      </c>
      <c r="J95">
        <v>11560</v>
      </c>
      <c r="K95">
        <v>0.05</v>
      </c>
      <c r="L95" t="s">
        <v>68</v>
      </c>
      <c r="M95" t="s">
        <v>35</v>
      </c>
      <c r="N95" t="s">
        <v>27</v>
      </c>
      <c r="O95">
        <v>23120</v>
      </c>
      <c r="P95">
        <v>1156</v>
      </c>
      <c r="Q95">
        <v>21964</v>
      </c>
      <c r="R95">
        <v>3</v>
      </c>
    </row>
    <row r="96" spans="1:18">
      <c r="A96" t="s">
        <v>171</v>
      </c>
      <c r="B96" s="2">
        <v>45889</v>
      </c>
      <c r="C96" t="s">
        <v>29</v>
      </c>
      <c r="D96" t="s">
        <v>78</v>
      </c>
      <c r="E96" t="s">
        <v>42</v>
      </c>
      <c r="F96" t="s">
        <v>22</v>
      </c>
      <c r="G96" t="s">
        <v>105</v>
      </c>
      <c r="H96" t="s">
        <v>24</v>
      </c>
      <c r="I96">
        <v>2</v>
      </c>
      <c r="J96">
        <v>3290</v>
      </c>
      <c r="K96">
        <v>0.1</v>
      </c>
      <c r="L96" t="s">
        <v>68</v>
      </c>
      <c r="M96" t="s">
        <v>38</v>
      </c>
      <c r="N96" t="s">
        <v>27</v>
      </c>
      <c r="O96">
        <v>6580</v>
      </c>
      <c r="P96">
        <v>658</v>
      </c>
      <c r="Q96">
        <v>5922</v>
      </c>
      <c r="R96">
        <v>1</v>
      </c>
    </row>
    <row r="97" spans="1:18">
      <c r="A97" t="s">
        <v>172</v>
      </c>
      <c r="B97" s="2">
        <v>45890</v>
      </c>
      <c r="C97" t="s">
        <v>40</v>
      </c>
      <c r="D97" t="s">
        <v>47</v>
      </c>
      <c r="E97" t="s">
        <v>42</v>
      </c>
      <c r="F97" t="s">
        <v>22</v>
      </c>
      <c r="G97" t="s">
        <v>73</v>
      </c>
      <c r="H97" t="s">
        <v>74</v>
      </c>
      <c r="I97">
        <v>2</v>
      </c>
      <c r="J97">
        <v>12160</v>
      </c>
      <c r="K97">
        <v>0.08</v>
      </c>
      <c r="L97" t="s">
        <v>54</v>
      </c>
      <c r="M97" t="s">
        <v>44</v>
      </c>
      <c r="N97" t="s">
        <v>27</v>
      </c>
      <c r="O97">
        <v>24320</v>
      </c>
      <c r="P97">
        <v>1945.6</v>
      </c>
      <c r="Q97">
        <v>22374.400000000001</v>
      </c>
      <c r="R97">
        <v>5</v>
      </c>
    </row>
    <row r="98" spans="1:18">
      <c r="A98" t="s">
        <v>173</v>
      </c>
      <c r="B98" s="2">
        <v>45890</v>
      </c>
      <c r="C98" t="s">
        <v>29</v>
      </c>
      <c r="D98" t="s">
        <v>30</v>
      </c>
      <c r="E98" t="s">
        <v>42</v>
      </c>
      <c r="F98" t="s">
        <v>22</v>
      </c>
      <c r="G98" t="s">
        <v>58</v>
      </c>
      <c r="H98" t="s">
        <v>59</v>
      </c>
      <c r="I98">
        <v>1</v>
      </c>
      <c r="J98">
        <v>6800</v>
      </c>
      <c r="K98">
        <v>0</v>
      </c>
      <c r="L98" t="s">
        <v>64</v>
      </c>
      <c r="M98" t="s">
        <v>66</v>
      </c>
      <c r="N98" t="s">
        <v>27</v>
      </c>
      <c r="O98">
        <v>6800</v>
      </c>
      <c r="P98">
        <v>0</v>
      </c>
      <c r="Q98">
        <v>6800</v>
      </c>
      <c r="R98">
        <v>4</v>
      </c>
    </row>
    <row r="99" spans="1:18">
      <c r="A99" t="s">
        <v>174</v>
      </c>
      <c r="B99" s="2">
        <v>45890</v>
      </c>
      <c r="C99" t="s">
        <v>29</v>
      </c>
      <c r="D99" t="s">
        <v>78</v>
      </c>
      <c r="E99" t="s">
        <v>42</v>
      </c>
      <c r="F99" t="s">
        <v>31</v>
      </c>
      <c r="G99" t="s">
        <v>48</v>
      </c>
      <c r="H99" t="s">
        <v>49</v>
      </c>
      <c r="I99">
        <v>2</v>
      </c>
      <c r="J99">
        <v>13290</v>
      </c>
      <c r="K99">
        <v>0.15</v>
      </c>
      <c r="L99" t="s">
        <v>34</v>
      </c>
      <c r="M99" t="s">
        <v>38</v>
      </c>
      <c r="N99" t="s">
        <v>27</v>
      </c>
      <c r="O99">
        <v>26580</v>
      </c>
      <c r="P99">
        <v>3987</v>
      </c>
      <c r="Q99">
        <v>22593</v>
      </c>
      <c r="R99">
        <v>1</v>
      </c>
    </row>
    <row r="100" spans="1:18">
      <c r="A100" t="s">
        <v>175</v>
      </c>
      <c r="B100" s="2">
        <v>45890</v>
      </c>
      <c r="C100" t="s">
        <v>40</v>
      </c>
      <c r="D100" t="s">
        <v>89</v>
      </c>
      <c r="E100" t="s">
        <v>42</v>
      </c>
      <c r="F100" t="s">
        <v>31</v>
      </c>
      <c r="G100" t="s">
        <v>101</v>
      </c>
      <c r="H100" t="s">
        <v>33</v>
      </c>
      <c r="I100">
        <v>2</v>
      </c>
      <c r="J100">
        <v>1680</v>
      </c>
      <c r="K100">
        <v>0.08</v>
      </c>
      <c r="L100" t="s">
        <v>34</v>
      </c>
      <c r="M100" t="s">
        <v>55</v>
      </c>
      <c r="N100" t="s">
        <v>27</v>
      </c>
      <c r="O100">
        <v>3360</v>
      </c>
      <c r="P100">
        <v>268.8</v>
      </c>
      <c r="Q100">
        <v>3091.2</v>
      </c>
      <c r="R100">
        <v>7</v>
      </c>
    </row>
    <row r="101" spans="1:18">
      <c r="A101" t="s">
        <v>176</v>
      </c>
      <c r="B101" s="2">
        <v>45891</v>
      </c>
      <c r="C101" t="s">
        <v>19</v>
      </c>
      <c r="D101" t="s">
        <v>57</v>
      </c>
      <c r="E101" t="s">
        <v>42</v>
      </c>
      <c r="F101" t="s">
        <v>22</v>
      </c>
      <c r="G101" t="s">
        <v>95</v>
      </c>
      <c r="H101" t="s">
        <v>24</v>
      </c>
      <c r="I101">
        <v>3</v>
      </c>
      <c r="J101">
        <v>21180</v>
      </c>
      <c r="K101">
        <v>0.03</v>
      </c>
      <c r="L101" t="s">
        <v>68</v>
      </c>
      <c r="M101" t="s">
        <v>66</v>
      </c>
      <c r="N101" t="s">
        <v>27</v>
      </c>
      <c r="O101">
        <v>63540</v>
      </c>
      <c r="P101">
        <v>1906.2</v>
      </c>
      <c r="Q101">
        <v>61633.8</v>
      </c>
      <c r="R101">
        <v>3</v>
      </c>
    </row>
    <row r="102" spans="1:18">
      <c r="A102" t="s">
        <v>177</v>
      </c>
      <c r="B102" s="2">
        <v>45891</v>
      </c>
      <c r="C102" t="s">
        <v>82</v>
      </c>
      <c r="D102" t="s">
        <v>178</v>
      </c>
      <c r="E102" t="s">
        <v>42</v>
      </c>
      <c r="F102" t="s">
        <v>22</v>
      </c>
      <c r="G102" t="s">
        <v>105</v>
      </c>
      <c r="H102" t="s">
        <v>24</v>
      </c>
      <c r="I102">
        <v>2</v>
      </c>
      <c r="J102">
        <v>3380</v>
      </c>
      <c r="K102">
        <v>0.05</v>
      </c>
      <c r="L102" t="s">
        <v>54</v>
      </c>
      <c r="M102" t="s">
        <v>35</v>
      </c>
      <c r="N102" t="s">
        <v>27</v>
      </c>
      <c r="O102">
        <v>6760</v>
      </c>
      <c r="P102">
        <v>338</v>
      </c>
      <c r="Q102">
        <v>6422</v>
      </c>
      <c r="R102">
        <v>1</v>
      </c>
    </row>
    <row r="103" spans="1:18">
      <c r="A103" t="s">
        <v>179</v>
      </c>
      <c r="B103" s="2">
        <v>45891</v>
      </c>
      <c r="C103" t="s">
        <v>19</v>
      </c>
      <c r="D103" t="s">
        <v>52</v>
      </c>
      <c r="E103" t="s">
        <v>42</v>
      </c>
      <c r="F103" t="s">
        <v>22</v>
      </c>
      <c r="G103" t="s">
        <v>105</v>
      </c>
      <c r="H103" t="s">
        <v>24</v>
      </c>
      <c r="I103">
        <v>1</v>
      </c>
      <c r="J103">
        <v>3300</v>
      </c>
      <c r="K103">
        <v>0.03</v>
      </c>
      <c r="L103" t="s">
        <v>54</v>
      </c>
      <c r="M103" t="s">
        <v>71</v>
      </c>
      <c r="N103" t="s">
        <v>27</v>
      </c>
      <c r="O103">
        <v>3300</v>
      </c>
      <c r="P103">
        <v>99</v>
      </c>
      <c r="Q103">
        <v>3201</v>
      </c>
      <c r="R103">
        <v>4</v>
      </c>
    </row>
    <row r="104" spans="1:18">
      <c r="A104" t="s">
        <v>180</v>
      </c>
      <c r="B104" s="2">
        <v>45891</v>
      </c>
      <c r="C104" t="s">
        <v>82</v>
      </c>
      <c r="D104" t="s">
        <v>178</v>
      </c>
      <c r="E104" t="s">
        <v>21</v>
      </c>
      <c r="F104" t="s">
        <v>22</v>
      </c>
      <c r="G104" t="s">
        <v>58</v>
      </c>
      <c r="H104" t="s">
        <v>59</v>
      </c>
      <c r="I104">
        <v>5</v>
      </c>
      <c r="J104">
        <v>7230</v>
      </c>
      <c r="K104">
        <v>0.05</v>
      </c>
      <c r="L104" t="s">
        <v>34</v>
      </c>
      <c r="M104" t="s">
        <v>71</v>
      </c>
      <c r="N104" t="s">
        <v>27</v>
      </c>
      <c r="O104">
        <v>36150</v>
      </c>
      <c r="P104">
        <v>1807.5</v>
      </c>
      <c r="Q104">
        <v>34342.5</v>
      </c>
      <c r="R104">
        <v>6</v>
      </c>
    </row>
    <row r="105" spans="1:18">
      <c r="A105" t="s">
        <v>181</v>
      </c>
      <c r="B105" s="2">
        <v>45891</v>
      </c>
      <c r="C105" t="s">
        <v>40</v>
      </c>
      <c r="D105" t="s">
        <v>41</v>
      </c>
      <c r="E105" t="s">
        <v>42</v>
      </c>
      <c r="F105" t="s">
        <v>31</v>
      </c>
      <c r="G105" t="s">
        <v>62</v>
      </c>
      <c r="H105" t="s">
        <v>33</v>
      </c>
      <c r="I105">
        <v>1</v>
      </c>
      <c r="J105">
        <v>1720</v>
      </c>
      <c r="K105">
        <v>0</v>
      </c>
      <c r="L105" t="s">
        <v>54</v>
      </c>
      <c r="M105" t="s">
        <v>50</v>
      </c>
      <c r="N105" t="s">
        <v>27</v>
      </c>
      <c r="O105">
        <v>1720</v>
      </c>
      <c r="P105">
        <v>0</v>
      </c>
      <c r="Q105">
        <v>1720</v>
      </c>
      <c r="R105">
        <v>2</v>
      </c>
    </row>
    <row r="106" spans="1:18">
      <c r="A106" t="s">
        <v>182</v>
      </c>
      <c r="B106" s="2">
        <v>45891</v>
      </c>
      <c r="C106" t="s">
        <v>29</v>
      </c>
      <c r="D106" t="s">
        <v>78</v>
      </c>
      <c r="E106" t="s">
        <v>42</v>
      </c>
      <c r="F106" t="s">
        <v>31</v>
      </c>
      <c r="G106" t="s">
        <v>101</v>
      </c>
      <c r="H106" t="s">
        <v>33</v>
      </c>
      <c r="I106">
        <v>1</v>
      </c>
      <c r="J106">
        <v>1840</v>
      </c>
      <c r="K106">
        <v>0.08</v>
      </c>
      <c r="L106" t="s">
        <v>64</v>
      </c>
      <c r="M106" t="s">
        <v>55</v>
      </c>
      <c r="N106" t="s">
        <v>27</v>
      </c>
      <c r="O106">
        <v>1840</v>
      </c>
      <c r="P106">
        <v>147.19999999999999</v>
      </c>
      <c r="Q106">
        <v>1692.8</v>
      </c>
      <c r="R106">
        <v>4</v>
      </c>
    </row>
    <row r="107" spans="1:18">
      <c r="A107" t="s">
        <v>183</v>
      </c>
      <c r="B107" s="2">
        <v>45891</v>
      </c>
      <c r="C107" t="s">
        <v>29</v>
      </c>
      <c r="D107" t="s">
        <v>61</v>
      </c>
      <c r="E107" t="s">
        <v>21</v>
      </c>
      <c r="F107" t="s">
        <v>31</v>
      </c>
      <c r="G107" t="s">
        <v>43</v>
      </c>
      <c r="H107" t="s">
        <v>33</v>
      </c>
      <c r="I107">
        <v>2</v>
      </c>
      <c r="J107">
        <v>920</v>
      </c>
      <c r="K107">
        <v>0.08</v>
      </c>
      <c r="L107" t="s">
        <v>64</v>
      </c>
      <c r="M107" t="s">
        <v>38</v>
      </c>
      <c r="N107" t="s">
        <v>27</v>
      </c>
      <c r="O107">
        <v>1840</v>
      </c>
      <c r="P107">
        <v>147.19999999999999</v>
      </c>
      <c r="Q107">
        <v>1692.8</v>
      </c>
      <c r="R107">
        <v>2</v>
      </c>
    </row>
    <row r="108" spans="1:18">
      <c r="A108" t="s">
        <v>184</v>
      </c>
      <c r="B108" s="2">
        <v>45893</v>
      </c>
      <c r="C108" t="s">
        <v>40</v>
      </c>
      <c r="D108" t="s">
        <v>89</v>
      </c>
      <c r="E108" t="s">
        <v>42</v>
      </c>
      <c r="F108" t="s">
        <v>22</v>
      </c>
      <c r="G108" t="s">
        <v>149</v>
      </c>
      <c r="H108" t="s">
        <v>33</v>
      </c>
      <c r="I108">
        <v>1</v>
      </c>
      <c r="J108">
        <v>3620</v>
      </c>
      <c r="K108">
        <v>0.15</v>
      </c>
      <c r="L108" t="s">
        <v>34</v>
      </c>
      <c r="M108" t="s">
        <v>50</v>
      </c>
      <c r="N108" t="s">
        <v>27</v>
      </c>
      <c r="O108">
        <v>3620</v>
      </c>
      <c r="P108">
        <v>543</v>
      </c>
      <c r="Q108">
        <v>3077</v>
      </c>
      <c r="R108">
        <v>6</v>
      </c>
    </row>
    <row r="109" spans="1:18">
      <c r="A109" t="s">
        <v>185</v>
      </c>
      <c r="B109" s="2">
        <v>45893</v>
      </c>
      <c r="C109" t="s">
        <v>40</v>
      </c>
      <c r="D109" t="s">
        <v>89</v>
      </c>
      <c r="E109" t="s">
        <v>42</v>
      </c>
      <c r="F109" t="s">
        <v>22</v>
      </c>
      <c r="G109" t="s">
        <v>23</v>
      </c>
      <c r="H109" t="s">
        <v>24</v>
      </c>
      <c r="I109">
        <v>1</v>
      </c>
      <c r="J109">
        <v>27090</v>
      </c>
      <c r="K109">
        <v>0.08</v>
      </c>
      <c r="L109" t="s">
        <v>34</v>
      </c>
      <c r="M109" t="s">
        <v>66</v>
      </c>
      <c r="N109" t="s">
        <v>27</v>
      </c>
      <c r="O109">
        <v>27090</v>
      </c>
      <c r="P109">
        <v>2167.1999999999998</v>
      </c>
      <c r="Q109">
        <v>24922.799999999999</v>
      </c>
      <c r="R109">
        <v>2</v>
      </c>
    </row>
    <row r="110" spans="1:18">
      <c r="A110" t="s">
        <v>186</v>
      </c>
      <c r="B110" s="2">
        <v>45895</v>
      </c>
      <c r="C110" t="s">
        <v>19</v>
      </c>
      <c r="D110" t="s">
        <v>52</v>
      </c>
      <c r="E110" t="s">
        <v>42</v>
      </c>
      <c r="F110" t="s">
        <v>22</v>
      </c>
      <c r="G110" t="s">
        <v>92</v>
      </c>
      <c r="H110" t="s">
        <v>24</v>
      </c>
      <c r="I110">
        <v>1</v>
      </c>
      <c r="J110">
        <v>17210</v>
      </c>
      <c r="K110">
        <v>0.08</v>
      </c>
      <c r="L110" t="s">
        <v>64</v>
      </c>
      <c r="M110" t="s">
        <v>66</v>
      </c>
      <c r="N110" t="s">
        <v>27</v>
      </c>
      <c r="O110">
        <v>17210</v>
      </c>
      <c r="P110">
        <v>1376.8</v>
      </c>
      <c r="Q110">
        <v>15833.2</v>
      </c>
      <c r="R110">
        <v>4</v>
      </c>
    </row>
    <row r="111" spans="1:18">
      <c r="A111" t="s">
        <v>187</v>
      </c>
      <c r="B111" s="2">
        <v>45896</v>
      </c>
      <c r="C111" t="s">
        <v>19</v>
      </c>
      <c r="D111" t="s">
        <v>20</v>
      </c>
      <c r="E111" t="s">
        <v>42</v>
      </c>
      <c r="F111" t="s">
        <v>22</v>
      </c>
      <c r="G111" t="s">
        <v>62</v>
      </c>
      <c r="H111" t="s">
        <v>33</v>
      </c>
      <c r="I111">
        <v>1</v>
      </c>
      <c r="J111">
        <v>1900</v>
      </c>
      <c r="K111">
        <v>0.05</v>
      </c>
      <c r="L111" t="s">
        <v>68</v>
      </c>
      <c r="M111" t="s">
        <v>38</v>
      </c>
      <c r="N111" t="s">
        <v>27</v>
      </c>
      <c r="O111">
        <v>1900</v>
      </c>
      <c r="P111">
        <v>95</v>
      </c>
      <c r="Q111">
        <v>1805</v>
      </c>
      <c r="R111">
        <v>2</v>
      </c>
    </row>
    <row r="112" spans="1:18">
      <c r="A112" t="s">
        <v>188</v>
      </c>
      <c r="B112" s="2">
        <v>45896</v>
      </c>
      <c r="C112" t="s">
        <v>40</v>
      </c>
      <c r="D112" t="s">
        <v>89</v>
      </c>
      <c r="E112" t="s">
        <v>42</v>
      </c>
      <c r="F112" t="s">
        <v>22</v>
      </c>
      <c r="G112" t="s">
        <v>48</v>
      </c>
      <c r="H112" t="s">
        <v>49</v>
      </c>
      <c r="I112">
        <v>1</v>
      </c>
      <c r="J112">
        <v>12880</v>
      </c>
      <c r="K112">
        <v>0.15</v>
      </c>
      <c r="L112" t="s">
        <v>54</v>
      </c>
      <c r="M112" t="s">
        <v>38</v>
      </c>
      <c r="N112" t="s">
        <v>27</v>
      </c>
      <c r="O112">
        <v>12880</v>
      </c>
      <c r="P112">
        <v>1932</v>
      </c>
      <c r="Q112">
        <v>10948</v>
      </c>
      <c r="R112">
        <v>4</v>
      </c>
    </row>
    <row r="113" spans="1:18">
      <c r="A113" t="s">
        <v>189</v>
      </c>
      <c r="B113" s="2">
        <v>45897</v>
      </c>
      <c r="C113" t="s">
        <v>40</v>
      </c>
      <c r="D113" t="s">
        <v>89</v>
      </c>
      <c r="E113" t="s">
        <v>42</v>
      </c>
      <c r="F113" t="s">
        <v>53</v>
      </c>
      <c r="G113" t="s">
        <v>48</v>
      </c>
      <c r="H113" t="s">
        <v>49</v>
      </c>
      <c r="I113">
        <v>1</v>
      </c>
      <c r="J113">
        <v>12720</v>
      </c>
      <c r="K113">
        <v>0.05</v>
      </c>
      <c r="L113" t="s">
        <v>68</v>
      </c>
      <c r="M113" t="s">
        <v>55</v>
      </c>
      <c r="N113" t="s">
        <v>27</v>
      </c>
      <c r="O113">
        <v>12720</v>
      </c>
      <c r="P113">
        <v>636</v>
      </c>
      <c r="Q113">
        <v>12084</v>
      </c>
      <c r="R113">
        <v>6</v>
      </c>
    </row>
    <row r="114" spans="1:18">
      <c r="A114" t="s">
        <v>190</v>
      </c>
      <c r="B114" s="2">
        <v>45897</v>
      </c>
      <c r="C114" t="s">
        <v>19</v>
      </c>
      <c r="D114" t="s">
        <v>103</v>
      </c>
      <c r="E114" t="s">
        <v>42</v>
      </c>
      <c r="F114" t="s">
        <v>22</v>
      </c>
      <c r="G114" t="s">
        <v>62</v>
      </c>
      <c r="H114" t="s">
        <v>33</v>
      </c>
      <c r="I114">
        <v>2</v>
      </c>
      <c r="J114">
        <v>1730</v>
      </c>
      <c r="K114">
        <v>0.1</v>
      </c>
      <c r="L114" t="s">
        <v>68</v>
      </c>
      <c r="M114" t="s">
        <v>71</v>
      </c>
      <c r="N114" t="s">
        <v>27</v>
      </c>
      <c r="O114">
        <v>3460</v>
      </c>
      <c r="P114">
        <v>346</v>
      </c>
      <c r="Q114">
        <v>3114</v>
      </c>
      <c r="R114">
        <v>3</v>
      </c>
    </row>
    <row r="115" spans="1:18">
      <c r="A115" t="s">
        <v>191</v>
      </c>
      <c r="B115" s="2">
        <v>45897</v>
      </c>
      <c r="C115" t="s">
        <v>40</v>
      </c>
      <c r="D115" t="s">
        <v>41</v>
      </c>
      <c r="E115" t="s">
        <v>42</v>
      </c>
      <c r="F115" t="s">
        <v>22</v>
      </c>
      <c r="G115" t="s">
        <v>48</v>
      </c>
      <c r="H115" t="s">
        <v>49</v>
      </c>
      <c r="I115">
        <v>2</v>
      </c>
      <c r="J115">
        <v>12320</v>
      </c>
      <c r="K115">
        <v>0</v>
      </c>
      <c r="L115" t="s">
        <v>25</v>
      </c>
      <c r="M115" t="s">
        <v>44</v>
      </c>
      <c r="N115" t="s">
        <v>27</v>
      </c>
      <c r="O115">
        <v>24640</v>
      </c>
      <c r="P115">
        <v>0</v>
      </c>
      <c r="Q115">
        <v>24640</v>
      </c>
      <c r="R115">
        <v>7</v>
      </c>
    </row>
    <row r="116" spans="1:18">
      <c r="A116" t="s">
        <v>192</v>
      </c>
      <c r="B116" s="2">
        <v>45897</v>
      </c>
      <c r="C116" t="s">
        <v>29</v>
      </c>
      <c r="D116" t="s">
        <v>30</v>
      </c>
      <c r="E116" t="s">
        <v>70</v>
      </c>
      <c r="F116" t="s">
        <v>22</v>
      </c>
      <c r="G116" t="s">
        <v>105</v>
      </c>
      <c r="H116" t="s">
        <v>24</v>
      </c>
      <c r="I116">
        <v>1</v>
      </c>
      <c r="J116">
        <v>3080</v>
      </c>
      <c r="K116">
        <v>0.1</v>
      </c>
      <c r="L116" t="s">
        <v>64</v>
      </c>
      <c r="M116" t="s">
        <v>38</v>
      </c>
      <c r="N116" t="s">
        <v>27</v>
      </c>
      <c r="O116">
        <v>3080</v>
      </c>
      <c r="P116">
        <v>308</v>
      </c>
      <c r="Q116">
        <v>2772</v>
      </c>
      <c r="R116">
        <v>3</v>
      </c>
    </row>
    <row r="117" spans="1:18">
      <c r="A117" t="s">
        <v>193</v>
      </c>
      <c r="B117" s="2">
        <v>45897</v>
      </c>
      <c r="C117" t="s">
        <v>82</v>
      </c>
      <c r="D117" t="s">
        <v>122</v>
      </c>
      <c r="E117" t="s">
        <v>42</v>
      </c>
      <c r="F117" t="s">
        <v>22</v>
      </c>
      <c r="G117" t="s">
        <v>43</v>
      </c>
      <c r="H117" t="s">
        <v>33</v>
      </c>
      <c r="I117">
        <v>3</v>
      </c>
      <c r="J117">
        <v>950</v>
      </c>
      <c r="K117">
        <v>0.05</v>
      </c>
      <c r="L117" t="s">
        <v>64</v>
      </c>
      <c r="M117" t="s">
        <v>26</v>
      </c>
      <c r="N117" t="s">
        <v>27</v>
      </c>
      <c r="O117">
        <v>2850</v>
      </c>
      <c r="P117">
        <v>142.5</v>
      </c>
      <c r="Q117">
        <v>2707.5</v>
      </c>
      <c r="R117">
        <v>3</v>
      </c>
    </row>
    <row r="118" spans="1:18">
      <c r="A118" t="s">
        <v>194</v>
      </c>
      <c r="B118" s="2">
        <v>45897</v>
      </c>
      <c r="C118" t="s">
        <v>29</v>
      </c>
      <c r="D118" t="s">
        <v>30</v>
      </c>
      <c r="E118" t="s">
        <v>42</v>
      </c>
      <c r="F118" t="s">
        <v>53</v>
      </c>
      <c r="G118" t="s">
        <v>37</v>
      </c>
      <c r="H118" t="s">
        <v>24</v>
      </c>
      <c r="I118">
        <v>2</v>
      </c>
      <c r="J118">
        <v>58020</v>
      </c>
      <c r="K118">
        <v>0.03</v>
      </c>
      <c r="L118" t="s">
        <v>54</v>
      </c>
      <c r="M118" t="s">
        <v>38</v>
      </c>
      <c r="N118" t="s">
        <v>27</v>
      </c>
      <c r="O118">
        <v>116040</v>
      </c>
      <c r="P118">
        <v>3481.2</v>
      </c>
      <c r="Q118">
        <v>112558.8</v>
      </c>
      <c r="R118">
        <v>6</v>
      </c>
    </row>
    <row r="119" spans="1:18">
      <c r="A119" t="s">
        <v>195</v>
      </c>
      <c r="B119" s="2">
        <v>45898</v>
      </c>
      <c r="C119" t="s">
        <v>82</v>
      </c>
      <c r="D119" t="s">
        <v>178</v>
      </c>
      <c r="E119" t="s">
        <v>42</v>
      </c>
      <c r="F119" t="s">
        <v>53</v>
      </c>
      <c r="G119" t="s">
        <v>105</v>
      </c>
      <c r="H119" t="s">
        <v>24</v>
      </c>
      <c r="I119">
        <v>1</v>
      </c>
      <c r="J119">
        <v>3330</v>
      </c>
      <c r="K119">
        <v>0.05</v>
      </c>
      <c r="L119" t="s">
        <v>34</v>
      </c>
      <c r="M119" t="s">
        <v>55</v>
      </c>
      <c r="N119" t="s">
        <v>27</v>
      </c>
      <c r="O119">
        <v>3330</v>
      </c>
      <c r="P119">
        <v>166.5</v>
      </c>
      <c r="Q119">
        <v>3163.5</v>
      </c>
      <c r="R119">
        <v>4</v>
      </c>
    </row>
    <row r="120" spans="1:18">
      <c r="A120" t="s">
        <v>196</v>
      </c>
      <c r="B120" s="2">
        <v>45898</v>
      </c>
      <c r="C120" t="s">
        <v>19</v>
      </c>
      <c r="D120" t="s">
        <v>103</v>
      </c>
      <c r="E120" t="s">
        <v>21</v>
      </c>
      <c r="F120" t="s">
        <v>22</v>
      </c>
      <c r="G120" t="s">
        <v>73</v>
      </c>
      <c r="H120" t="s">
        <v>74</v>
      </c>
      <c r="I120">
        <v>2</v>
      </c>
      <c r="J120">
        <v>10780</v>
      </c>
      <c r="K120">
        <v>0.08</v>
      </c>
      <c r="L120" t="s">
        <v>54</v>
      </c>
      <c r="M120" t="s">
        <v>71</v>
      </c>
      <c r="N120" t="s">
        <v>27</v>
      </c>
      <c r="O120">
        <v>21560</v>
      </c>
      <c r="P120">
        <v>1724.8</v>
      </c>
      <c r="Q120">
        <v>19835.2</v>
      </c>
      <c r="R120">
        <v>2</v>
      </c>
    </row>
    <row r="121" spans="1:18">
      <c r="A121" t="s">
        <v>197</v>
      </c>
      <c r="B121" s="2">
        <v>45901</v>
      </c>
      <c r="C121" t="s">
        <v>40</v>
      </c>
      <c r="D121" t="s">
        <v>115</v>
      </c>
      <c r="E121" t="s">
        <v>21</v>
      </c>
      <c r="F121" t="s">
        <v>31</v>
      </c>
      <c r="G121" t="s">
        <v>149</v>
      </c>
      <c r="H121" t="s">
        <v>33</v>
      </c>
      <c r="I121">
        <v>1</v>
      </c>
      <c r="J121">
        <v>3750</v>
      </c>
      <c r="K121">
        <v>0.08</v>
      </c>
      <c r="L121" t="s">
        <v>64</v>
      </c>
      <c r="M121" t="s">
        <v>26</v>
      </c>
      <c r="N121" t="s">
        <v>45</v>
      </c>
      <c r="O121">
        <v>0</v>
      </c>
      <c r="P121">
        <v>0</v>
      </c>
      <c r="Q121">
        <v>0</v>
      </c>
    </row>
    <row r="122" spans="1:18">
      <c r="A122" t="s">
        <v>198</v>
      </c>
      <c r="B122" s="2">
        <v>45901</v>
      </c>
      <c r="C122" t="s">
        <v>29</v>
      </c>
      <c r="D122" t="s">
        <v>30</v>
      </c>
      <c r="E122" t="s">
        <v>21</v>
      </c>
      <c r="F122" t="s">
        <v>22</v>
      </c>
      <c r="G122" t="s">
        <v>43</v>
      </c>
      <c r="H122" t="s">
        <v>33</v>
      </c>
      <c r="I122">
        <v>1</v>
      </c>
      <c r="J122">
        <v>910</v>
      </c>
      <c r="K122">
        <v>0.15</v>
      </c>
      <c r="L122" t="s">
        <v>54</v>
      </c>
      <c r="M122" t="s">
        <v>66</v>
      </c>
      <c r="N122" t="s">
        <v>27</v>
      </c>
      <c r="O122">
        <v>910</v>
      </c>
      <c r="P122">
        <v>136.5</v>
      </c>
      <c r="Q122">
        <v>773.5</v>
      </c>
      <c r="R122">
        <v>3</v>
      </c>
    </row>
    <row r="123" spans="1:18">
      <c r="A123" t="s">
        <v>199</v>
      </c>
      <c r="B123" s="2">
        <v>45901</v>
      </c>
      <c r="C123" t="s">
        <v>29</v>
      </c>
      <c r="D123" t="s">
        <v>30</v>
      </c>
      <c r="E123" t="s">
        <v>70</v>
      </c>
      <c r="F123" t="s">
        <v>22</v>
      </c>
      <c r="G123" t="s">
        <v>23</v>
      </c>
      <c r="H123" t="s">
        <v>24</v>
      </c>
      <c r="I123">
        <v>4</v>
      </c>
      <c r="J123">
        <v>27810</v>
      </c>
      <c r="K123">
        <v>0.03</v>
      </c>
      <c r="L123" t="s">
        <v>68</v>
      </c>
      <c r="M123" t="s">
        <v>55</v>
      </c>
      <c r="N123" t="s">
        <v>27</v>
      </c>
      <c r="O123">
        <v>111240</v>
      </c>
      <c r="P123">
        <v>3337.2</v>
      </c>
      <c r="Q123">
        <v>107902.8</v>
      </c>
      <c r="R123">
        <v>5</v>
      </c>
    </row>
    <row r="124" spans="1:18">
      <c r="A124" t="s">
        <v>200</v>
      </c>
      <c r="B124" s="2">
        <v>45903</v>
      </c>
      <c r="C124" t="s">
        <v>40</v>
      </c>
      <c r="D124" t="s">
        <v>89</v>
      </c>
      <c r="E124" t="s">
        <v>42</v>
      </c>
      <c r="F124" t="s">
        <v>22</v>
      </c>
      <c r="G124" t="s">
        <v>58</v>
      </c>
      <c r="H124" t="s">
        <v>59</v>
      </c>
      <c r="I124">
        <v>1</v>
      </c>
      <c r="J124">
        <v>6750</v>
      </c>
      <c r="K124">
        <v>0</v>
      </c>
      <c r="L124" t="s">
        <v>34</v>
      </c>
      <c r="M124" t="s">
        <v>26</v>
      </c>
      <c r="N124" t="s">
        <v>27</v>
      </c>
      <c r="O124">
        <v>6750</v>
      </c>
      <c r="P124">
        <v>0</v>
      </c>
      <c r="Q124">
        <v>6750</v>
      </c>
      <c r="R124">
        <v>6</v>
      </c>
    </row>
    <row r="125" spans="1:18">
      <c r="A125" t="s">
        <v>201</v>
      </c>
      <c r="B125" s="2">
        <v>45903</v>
      </c>
      <c r="C125" t="s">
        <v>29</v>
      </c>
      <c r="D125" t="s">
        <v>61</v>
      </c>
      <c r="E125" t="s">
        <v>42</v>
      </c>
      <c r="F125" t="s">
        <v>22</v>
      </c>
      <c r="G125" t="s">
        <v>32</v>
      </c>
      <c r="H125" t="s">
        <v>33</v>
      </c>
      <c r="I125">
        <v>1</v>
      </c>
      <c r="J125">
        <v>2450</v>
      </c>
      <c r="K125">
        <v>0</v>
      </c>
      <c r="L125" t="s">
        <v>64</v>
      </c>
      <c r="M125" t="s">
        <v>66</v>
      </c>
      <c r="N125" t="s">
        <v>27</v>
      </c>
      <c r="O125">
        <v>2450</v>
      </c>
      <c r="P125">
        <v>0</v>
      </c>
      <c r="Q125">
        <v>2450</v>
      </c>
      <c r="R125">
        <v>2</v>
      </c>
    </row>
    <row r="126" spans="1:18">
      <c r="A126" t="s">
        <v>202</v>
      </c>
      <c r="B126" s="2">
        <v>45904</v>
      </c>
      <c r="C126" t="s">
        <v>40</v>
      </c>
      <c r="D126" t="s">
        <v>47</v>
      </c>
      <c r="E126" t="s">
        <v>42</v>
      </c>
      <c r="F126" t="s">
        <v>22</v>
      </c>
      <c r="G126" t="s">
        <v>92</v>
      </c>
      <c r="H126" t="s">
        <v>24</v>
      </c>
      <c r="I126">
        <v>5</v>
      </c>
      <c r="J126">
        <v>15940</v>
      </c>
      <c r="K126">
        <v>0.1</v>
      </c>
      <c r="L126" t="s">
        <v>34</v>
      </c>
      <c r="M126" t="s">
        <v>26</v>
      </c>
      <c r="N126" t="s">
        <v>27</v>
      </c>
      <c r="O126">
        <v>79700</v>
      </c>
      <c r="P126">
        <v>7970</v>
      </c>
      <c r="Q126">
        <v>71730</v>
      </c>
      <c r="R126">
        <v>2</v>
      </c>
    </row>
    <row r="127" spans="1:18">
      <c r="A127" t="s">
        <v>203</v>
      </c>
      <c r="B127" s="2">
        <v>45904</v>
      </c>
      <c r="C127" t="s">
        <v>29</v>
      </c>
      <c r="D127" t="s">
        <v>78</v>
      </c>
      <c r="E127" t="s">
        <v>42</v>
      </c>
      <c r="F127" t="s">
        <v>22</v>
      </c>
      <c r="G127" t="s">
        <v>58</v>
      </c>
      <c r="H127" t="s">
        <v>59</v>
      </c>
      <c r="I127">
        <v>5</v>
      </c>
      <c r="J127">
        <v>7250</v>
      </c>
      <c r="K127">
        <v>0.08</v>
      </c>
      <c r="L127" t="s">
        <v>68</v>
      </c>
      <c r="M127" t="s">
        <v>26</v>
      </c>
      <c r="N127" t="s">
        <v>27</v>
      </c>
      <c r="O127">
        <v>36250</v>
      </c>
      <c r="P127">
        <v>2900</v>
      </c>
      <c r="Q127">
        <v>33350</v>
      </c>
      <c r="R127">
        <v>2</v>
      </c>
    </row>
    <row r="128" spans="1:18">
      <c r="A128" t="s">
        <v>204</v>
      </c>
      <c r="B128" s="2">
        <v>45904</v>
      </c>
      <c r="C128" t="s">
        <v>40</v>
      </c>
      <c r="D128" t="s">
        <v>47</v>
      </c>
      <c r="E128" t="s">
        <v>21</v>
      </c>
      <c r="F128" t="s">
        <v>31</v>
      </c>
      <c r="G128" t="s">
        <v>95</v>
      </c>
      <c r="H128" t="s">
        <v>24</v>
      </c>
      <c r="I128">
        <v>2</v>
      </c>
      <c r="J128">
        <v>22660</v>
      </c>
      <c r="K128">
        <v>0.05</v>
      </c>
      <c r="L128" t="s">
        <v>68</v>
      </c>
      <c r="M128" t="s">
        <v>50</v>
      </c>
      <c r="N128" t="s">
        <v>27</v>
      </c>
      <c r="O128">
        <v>45320</v>
      </c>
      <c r="P128">
        <v>2266</v>
      </c>
      <c r="Q128">
        <v>43054</v>
      </c>
      <c r="R128">
        <v>4</v>
      </c>
    </row>
    <row r="129" spans="1:18">
      <c r="A129" t="s">
        <v>205</v>
      </c>
      <c r="B129" s="2">
        <v>45906</v>
      </c>
      <c r="C129" t="s">
        <v>40</v>
      </c>
      <c r="D129" t="s">
        <v>89</v>
      </c>
      <c r="E129" t="s">
        <v>21</v>
      </c>
      <c r="F129" t="s">
        <v>31</v>
      </c>
      <c r="G129" t="s">
        <v>23</v>
      </c>
      <c r="H129" t="s">
        <v>24</v>
      </c>
      <c r="I129">
        <v>4</v>
      </c>
      <c r="J129">
        <v>26590</v>
      </c>
      <c r="K129">
        <v>0.08</v>
      </c>
      <c r="L129" t="s">
        <v>54</v>
      </c>
      <c r="M129" t="s">
        <v>35</v>
      </c>
      <c r="N129" t="s">
        <v>27</v>
      </c>
      <c r="O129">
        <v>106360</v>
      </c>
      <c r="P129">
        <v>8508.7999999999993</v>
      </c>
      <c r="Q129">
        <v>97851.199999999997</v>
      </c>
      <c r="R129">
        <v>7</v>
      </c>
    </row>
    <row r="130" spans="1:18">
      <c r="A130" t="s">
        <v>206</v>
      </c>
      <c r="B130" s="2">
        <v>45907</v>
      </c>
      <c r="C130" t="s">
        <v>40</v>
      </c>
      <c r="D130" t="s">
        <v>47</v>
      </c>
      <c r="E130" t="s">
        <v>42</v>
      </c>
      <c r="F130" t="s">
        <v>31</v>
      </c>
      <c r="G130" t="s">
        <v>43</v>
      </c>
      <c r="H130" t="s">
        <v>33</v>
      </c>
      <c r="I130">
        <v>2</v>
      </c>
      <c r="J130">
        <v>910</v>
      </c>
      <c r="K130">
        <v>0</v>
      </c>
      <c r="L130" t="s">
        <v>68</v>
      </c>
      <c r="M130" t="s">
        <v>71</v>
      </c>
      <c r="N130" t="s">
        <v>27</v>
      </c>
      <c r="O130">
        <v>1820</v>
      </c>
      <c r="P130">
        <v>0</v>
      </c>
      <c r="Q130">
        <v>1820</v>
      </c>
      <c r="R130">
        <v>3</v>
      </c>
    </row>
    <row r="131" spans="1:18">
      <c r="A131" t="s">
        <v>207</v>
      </c>
      <c r="B131" s="2">
        <v>45907</v>
      </c>
      <c r="C131" t="s">
        <v>40</v>
      </c>
      <c r="D131" t="s">
        <v>115</v>
      </c>
      <c r="E131" t="s">
        <v>21</v>
      </c>
      <c r="F131" t="s">
        <v>22</v>
      </c>
      <c r="G131" t="s">
        <v>43</v>
      </c>
      <c r="H131" t="s">
        <v>33</v>
      </c>
      <c r="I131">
        <v>3</v>
      </c>
      <c r="J131">
        <v>910</v>
      </c>
      <c r="K131">
        <v>0.05</v>
      </c>
      <c r="L131" t="s">
        <v>68</v>
      </c>
      <c r="M131" t="s">
        <v>66</v>
      </c>
      <c r="N131" t="s">
        <v>27</v>
      </c>
      <c r="O131">
        <v>2730</v>
      </c>
      <c r="P131">
        <v>136.5</v>
      </c>
      <c r="Q131">
        <v>2593.5</v>
      </c>
      <c r="R131">
        <v>3</v>
      </c>
    </row>
    <row r="132" spans="1:18">
      <c r="A132" t="s">
        <v>208</v>
      </c>
      <c r="B132" s="2">
        <v>45907</v>
      </c>
      <c r="C132" t="s">
        <v>40</v>
      </c>
      <c r="D132" t="s">
        <v>47</v>
      </c>
      <c r="E132" t="s">
        <v>42</v>
      </c>
      <c r="F132" t="s">
        <v>22</v>
      </c>
      <c r="G132" t="s">
        <v>95</v>
      </c>
      <c r="H132" t="s">
        <v>24</v>
      </c>
      <c r="I132">
        <v>1</v>
      </c>
      <c r="J132">
        <v>22380</v>
      </c>
      <c r="K132">
        <v>0</v>
      </c>
      <c r="L132" t="s">
        <v>68</v>
      </c>
      <c r="M132" t="s">
        <v>50</v>
      </c>
      <c r="N132" t="s">
        <v>27</v>
      </c>
      <c r="O132">
        <v>22380</v>
      </c>
      <c r="P132">
        <v>0</v>
      </c>
      <c r="Q132">
        <v>22380</v>
      </c>
      <c r="R132">
        <v>3</v>
      </c>
    </row>
    <row r="133" spans="1:18">
      <c r="A133" t="s">
        <v>209</v>
      </c>
      <c r="B133" s="2">
        <v>45908</v>
      </c>
      <c r="C133" t="s">
        <v>19</v>
      </c>
      <c r="D133" t="s">
        <v>20</v>
      </c>
      <c r="E133" t="s">
        <v>42</v>
      </c>
      <c r="F133" t="s">
        <v>53</v>
      </c>
      <c r="G133" t="s">
        <v>32</v>
      </c>
      <c r="H133" t="s">
        <v>33</v>
      </c>
      <c r="I133">
        <v>1</v>
      </c>
      <c r="J133">
        <v>2480</v>
      </c>
      <c r="K133">
        <v>0</v>
      </c>
      <c r="L133" t="s">
        <v>68</v>
      </c>
      <c r="M133" t="s">
        <v>50</v>
      </c>
      <c r="N133" t="s">
        <v>27</v>
      </c>
      <c r="O133">
        <v>2480</v>
      </c>
      <c r="P133">
        <v>0</v>
      </c>
      <c r="Q133">
        <v>2480</v>
      </c>
      <c r="R133">
        <v>2</v>
      </c>
    </row>
    <row r="134" spans="1:18">
      <c r="A134" t="s">
        <v>210</v>
      </c>
      <c r="B134" s="2">
        <v>45908</v>
      </c>
      <c r="C134" t="s">
        <v>29</v>
      </c>
      <c r="D134" t="s">
        <v>61</v>
      </c>
      <c r="E134" t="s">
        <v>21</v>
      </c>
      <c r="F134" t="s">
        <v>22</v>
      </c>
      <c r="G134" t="s">
        <v>105</v>
      </c>
      <c r="H134" t="s">
        <v>24</v>
      </c>
      <c r="I134">
        <v>2</v>
      </c>
      <c r="J134">
        <v>3340</v>
      </c>
      <c r="K134">
        <v>0</v>
      </c>
      <c r="L134" t="s">
        <v>34</v>
      </c>
      <c r="N134" t="s">
        <v>27</v>
      </c>
      <c r="O134">
        <v>6680</v>
      </c>
      <c r="P134">
        <v>0</v>
      </c>
      <c r="Q134">
        <v>6680</v>
      </c>
      <c r="R134">
        <v>4</v>
      </c>
    </row>
    <row r="135" spans="1:18">
      <c r="A135" t="s">
        <v>211</v>
      </c>
      <c r="B135" s="2">
        <v>45908</v>
      </c>
      <c r="C135" t="s">
        <v>29</v>
      </c>
      <c r="D135" t="s">
        <v>30</v>
      </c>
      <c r="E135" t="s">
        <v>42</v>
      </c>
      <c r="F135" t="s">
        <v>31</v>
      </c>
      <c r="G135" t="s">
        <v>149</v>
      </c>
      <c r="H135" t="s">
        <v>33</v>
      </c>
      <c r="I135">
        <v>4</v>
      </c>
      <c r="J135">
        <v>3520</v>
      </c>
      <c r="K135">
        <v>0.05</v>
      </c>
      <c r="L135" t="s">
        <v>54</v>
      </c>
      <c r="M135" t="s">
        <v>38</v>
      </c>
      <c r="N135" t="s">
        <v>27</v>
      </c>
      <c r="O135">
        <v>14080</v>
      </c>
      <c r="P135">
        <v>704</v>
      </c>
      <c r="Q135">
        <v>13376</v>
      </c>
      <c r="R135">
        <v>3</v>
      </c>
    </row>
    <row r="136" spans="1:18">
      <c r="A136" t="s">
        <v>212</v>
      </c>
      <c r="B136" s="2">
        <v>45908</v>
      </c>
      <c r="C136" t="s">
        <v>40</v>
      </c>
      <c r="D136" t="s">
        <v>47</v>
      </c>
      <c r="E136" t="s">
        <v>70</v>
      </c>
      <c r="F136" t="s">
        <v>22</v>
      </c>
      <c r="G136" t="s">
        <v>92</v>
      </c>
      <c r="H136" t="s">
        <v>24</v>
      </c>
      <c r="I136">
        <v>3</v>
      </c>
      <c r="J136">
        <v>17020</v>
      </c>
      <c r="K136">
        <v>0.05</v>
      </c>
      <c r="L136" t="s">
        <v>64</v>
      </c>
      <c r="M136" t="s">
        <v>71</v>
      </c>
      <c r="N136" t="s">
        <v>27</v>
      </c>
      <c r="O136">
        <v>51060</v>
      </c>
      <c r="P136">
        <v>2553</v>
      </c>
      <c r="Q136">
        <v>48507</v>
      </c>
      <c r="R136">
        <v>4</v>
      </c>
    </row>
    <row r="137" spans="1:18">
      <c r="A137" t="s">
        <v>213</v>
      </c>
      <c r="B137" s="2">
        <v>45909</v>
      </c>
      <c r="C137" t="s">
        <v>29</v>
      </c>
      <c r="D137" t="s">
        <v>61</v>
      </c>
      <c r="E137" t="s">
        <v>42</v>
      </c>
      <c r="F137" t="s">
        <v>31</v>
      </c>
      <c r="G137" t="s">
        <v>152</v>
      </c>
      <c r="H137" t="s">
        <v>74</v>
      </c>
      <c r="I137">
        <v>1</v>
      </c>
      <c r="J137">
        <v>14090</v>
      </c>
      <c r="K137">
        <v>0.05</v>
      </c>
      <c r="L137" t="s">
        <v>64</v>
      </c>
      <c r="M137" t="s">
        <v>55</v>
      </c>
      <c r="N137" t="s">
        <v>27</v>
      </c>
      <c r="O137">
        <v>14090</v>
      </c>
      <c r="P137">
        <v>704.5</v>
      </c>
      <c r="Q137">
        <v>13385.5</v>
      </c>
      <c r="R137">
        <v>1</v>
      </c>
    </row>
    <row r="138" spans="1:18">
      <c r="A138" t="s">
        <v>214</v>
      </c>
      <c r="B138" s="2">
        <v>45909</v>
      </c>
      <c r="C138" t="s">
        <v>19</v>
      </c>
      <c r="D138" t="s">
        <v>103</v>
      </c>
      <c r="E138" t="s">
        <v>42</v>
      </c>
      <c r="F138" t="s">
        <v>22</v>
      </c>
      <c r="G138" t="s">
        <v>73</v>
      </c>
      <c r="H138" t="s">
        <v>74</v>
      </c>
      <c r="I138">
        <v>2</v>
      </c>
      <c r="J138">
        <v>11840</v>
      </c>
      <c r="K138">
        <v>0.1</v>
      </c>
      <c r="L138" t="s">
        <v>34</v>
      </c>
      <c r="M138" t="s">
        <v>71</v>
      </c>
      <c r="N138" t="s">
        <v>27</v>
      </c>
      <c r="O138">
        <v>23680</v>
      </c>
      <c r="P138">
        <v>2368</v>
      </c>
      <c r="Q138">
        <v>21312</v>
      </c>
      <c r="R138">
        <v>5</v>
      </c>
    </row>
    <row r="139" spans="1:18">
      <c r="A139" t="s">
        <v>215</v>
      </c>
      <c r="B139" s="2">
        <v>45909</v>
      </c>
      <c r="C139" t="s">
        <v>29</v>
      </c>
      <c r="D139" t="s">
        <v>78</v>
      </c>
      <c r="E139" t="s">
        <v>42</v>
      </c>
      <c r="F139" t="s">
        <v>31</v>
      </c>
      <c r="G139" t="s">
        <v>37</v>
      </c>
      <c r="H139" t="s">
        <v>24</v>
      </c>
      <c r="I139">
        <v>1</v>
      </c>
      <c r="J139">
        <v>61250</v>
      </c>
      <c r="K139">
        <v>0.03</v>
      </c>
      <c r="L139" t="s">
        <v>64</v>
      </c>
      <c r="M139" t="s">
        <v>44</v>
      </c>
      <c r="N139" t="s">
        <v>27</v>
      </c>
      <c r="O139">
        <v>61250</v>
      </c>
      <c r="P139">
        <v>1837.5</v>
      </c>
      <c r="Q139">
        <v>59412.5</v>
      </c>
      <c r="R139">
        <v>5</v>
      </c>
    </row>
    <row r="140" spans="1:18">
      <c r="A140" t="s">
        <v>216</v>
      </c>
      <c r="B140" s="2">
        <v>45910</v>
      </c>
      <c r="C140" t="s">
        <v>82</v>
      </c>
      <c r="D140" t="s">
        <v>83</v>
      </c>
      <c r="E140" t="s">
        <v>42</v>
      </c>
      <c r="F140" t="s">
        <v>22</v>
      </c>
      <c r="G140" t="s">
        <v>23</v>
      </c>
      <c r="H140" t="s">
        <v>24</v>
      </c>
      <c r="I140">
        <v>3</v>
      </c>
      <c r="J140">
        <v>27950</v>
      </c>
      <c r="K140">
        <v>0.05</v>
      </c>
      <c r="L140" t="s">
        <v>64</v>
      </c>
      <c r="M140" t="s">
        <v>71</v>
      </c>
      <c r="N140" t="s">
        <v>27</v>
      </c>
      <c r="O140">
        <v>83850</v>
      </c>
      <c r="P140">
        <v>4192.5</v>
      </c>
      <c r="Q140">
        <v>79657.5</v>
      </c>
      <c r="R140">
        <v>4</v>
      </c>
    </row>
    <row r="141" spans="1:18">
      <c r="A141" t="s">
        <v>217</v>
      </c>
      <c r="B141" s="2">
        <v>45911</v>
      </c>
      <c r="C141" t="s">
        <v>19</v>
      </c>
      <c r="D141" t="s">
        <v>57</v>
      </c>
      <c r="E141" t="s">
        <v>42</v>
      </c>
      <c r="F141" t="s">
        <v>22</v>
      </c>
      <c r="G141" t="s">
        <v>48</v>
      </c>
      <c r="H141" t="s">
        <v>49</v>
      </c>
      <c r="I141">
        <v>1</v>
      </c>
      <c r="J141">
        <v>11840</v>
      </c>
      <c r="K141">
        <v>0.03</v>
      </c>
      <c r="L141" t="s">
        <v>64</v>
      </c>
      <c r="M141" t="s">
        <v>55</v>
      </c>
      <c r="N141" t="s">
        <v>27</v>
      </c>
      <c r="O141">
        <v>11840</v>
      </c>
      <c r="P141">
        <v>355.2</v>
      </c>
      <c r="Q141">
        <v>11484.8</v>
      </c>
      <c r="R141">
        <v>3</v>
      </c>
    </row>
    <row r="142" spans="1:18">
      <c r="A142" t="s">
        <v>218</v>
      </c>
      <c r="B142" s="2">
        <v>45911</v>
      </c>
      <c r="C142" t="s">
        <v>29</v>
      </c>
      <c r="D142" t="s">
        <v>85</v>
      </c>
      <c r="E142" t="s">
        <v>70</v>
      </c>
      <c r="F142" t="s">
        <v>22</v>
      </c>
      <c r="G142" t="s">
        <v>73</v>
      </c>
      <c r="H142" t="s">
        <v>74</v>
      </c>
      <c r="I142">
        <v>3</v>
      </c>
      <c r="J142">
        <v>10760</v>
      </c>
      <c r="K142">
        <v>0.1</v>
      </c>
      <c r="L142" t="s">
        <v>64</v>
      </c>
      <c r="M142" t="s">
        <v>38</v>
      </c>
      <c r="N142" t="s">
        <v>27</v>
      </c>
      <c r="O142">
        <v>32280</v>
      </c>
      <c r="P142">
        <v>3228</v>
      </c>
      <c r="Q142">
        <v>29052</v>
      </c>
      <c r="R142">
        <v>3</v>
      </c>
    </row>
    <row r="143" spans="1:18">
      <c r="A143" t="s">
        <v>219</v>
      </c>
      <c r="B143" s="2">
        <v>45912</v>
      </c>
      <c r="C143" t="s">
        <v>82</v>
      </c>
      <c r="D143" t="s">
        <v>122</v>
      </c>
      <c r="E143" t="s">
        <v>21</v>
      </c>
      <c r="F143" t="s">
        <v>22</v>
      </c>
      <c r="G143" t="s">
        <v>152</v>
      </c>
      <c r="H143" t="s">
        <v>74</v>
      </c>
      <c r="I143">
        <v>2</v>
      </c>
      <c r="J143">
        <v>14850</v>
      </c>
      <c r="K143">
        <v>0.08</v>
      </c>
      <c r="L143" t="s">
        <v>34</v>
      </c>
      <c r="M143" t="s">
        <v>38</v>
      </c>
      <c r="N143" t="s">
        <v>27</v>
      </c>
      <c r="O143">
        <v>29700</v>
      </c>
      <c r="P143">
        <v>2376</v>
      </c>
      <c r="Q143">
        <v>27324</v>
      </c>
      <c r="R143">
        <v>4</v>
      </c>
    </row>
    <row r="144" spans="1:18">
      <c r="A144" t="s">
        <v>220</v>
      </c>
      <c r="B144" s="2">
        <v>45912</v>
      </c>
      <c r="C144" t="s">
        <v>40</v>
      </c>
      <c r="D144" t="s">
        <v>47</v>
      </c>
      <c r="E144" t="s">
        <v>42</v>
      </c>
      <c r="F144" t="s">
        <v>53</v>
      </c>
      <c r="G144" t="s">
        <v>43</v>
      </c>
      <c r="H144" t="s">
        <v>33</v>
      </c>
      <c r="I144">
        <v>1</v>
      </c>
      <c r="J144">
        <v>990</v>
      </c>
      <c r="K144">
        <v>0.08</v>
      </c>
      <c r="L144" t="s">
        <v>64</v>
      </c>
      <c r="M144" t="s">
        <v>71</v>
      </c>
      <c r="N144" t="s">
        <v>27</v>
      </c>
      <c r="O144">
        <v>990</v>
      </c>
      <c r="P144">
        <v>79.2</v>
      </c>
      <c r="Q144">
        <v>910.8</v>
      </c>
      <c r="R144">
        <v>7</v>
      </c>
    </row>
    <row r="145" spans="1:18">
      <c r="A145" t="s">
        <v>221</v>
      </c>
      <c r="B145" s="2">
        <v>45913</v>
      </c>
      <c r="C145" t="s">
        <v>29</v>
      </c>
      <c r="D145" t="s">
        <v>61</v>
      </c>
      <c r="E145" t="s">
        <v>42</v>
      </c>
      <c r="F145" t="s">
        <v>22</v>
      </c>
      <c r="G145" t="s">
        <v>37</v>
      </c>
      <c r="H145" t="s">
        <v>24</v>
      </c>
      <c r="I145">
        <v>1</v>
      </c>
      <c r="J145">
        <v>59920</v>
      </c>
      <c r="K145">
        <v>0.05</v>
      </c>
      <c r="L145" t="s">
        <v>25</v>
      </c>
      <c r="M145" t="s">
        <v>26</v>
      </c>
      <c r="N145" t="s">
        <v>27</v>
      </c>
      <c r="O145">
        <v>59920</v>
      </c>
      <c r="P145">
        <v>2996</v>
      </c>
      <c r="Q145">
        <v>56924</v>
      </c>
      <c r="R145">
        <v>2</v>
      </c>
    </row>
    <row r="146" spans="1:18">
      <c r="A146" t="s">
        <v>222</v>
      </c>
      <c r="B146" s="2">
        <v>45913</v>
      </c>
      <c r="C146" t="s">
        <v>40</v>
      </c>
      <c r="D146" t="s">
        <v>89</v>
      </c>
      <c r="E146" t="s">
        <v>70</v>
      </c>
      <c r="F146" t="s">
        <v>31</v>
      </c>
      <c r="G146" t="s">
        <v>105</v>
      </c>
      <c r="H146" t="s">
        <v>24</v>
      </c>
      <c r="I146">
        <v>3</v>
      </c>
      <c r="J146">
        <v>3280</v>
      </c>
      <c r="K146">
        <v>0.05</v>
      </c>
      <c r="L146" t="s">
        <v>25</v>
      </c>
      <c r="M146" t="s">
        <v>35</v>
      </c>
      <c r="N146" t="s">
        <v>27</v>
      </c>
      <c r="O146">
        <v>9840</v>
      </c>
      <c r="P146">
        <v>492</v>
      </c>
      <c r="Q146">
        <v>9348</v>
      </c>
      <c r="R146">
        <v>3</v>
      </c>
    </row>
    <row r="147" spans="1:18">
      <c r="A147" t="s">
        <v>223</v>
      </c>
      <c r="B147" s="2">
        <v>45914</v>
      </c>
      <c r="C147" t="s">
        <v>29</v>
      </c>
      <c r="D147" t="s">
        <v>61</v>
      </c>
      <c r="E147" t="s">
        <v>42</v>
      </c>
      <c r="F147" t="s">
        <v>22</v>
      </c>
      <c r="G147" t="s">
        <v>62</v>
      </c>
      <c r="H147" t="s">
        <v>33</v>
      </c>
      <c r="I147">
        <v>2</v>
      </c>
      <c r="J147">
        <v>1870</v>
      </c>
      <c r="K147">
        <v>0.05</v>
      </c>
      <c r="L147" t="s">
        <v>64</v>
      </c>
      <c r="M147" t="s">
        <v>26</v>
      </c>
      <c r="N147" t="s">
        <v>27</v>
      </c>
      <c r="O147">
        <v>3740</v>
      </c>
      <c r="P147">
        <v>187</v>
      </c>
      <c r="Q147">
        <v>3553</v>
      </c>
      <c r="R147">
        <v>3</v>
      </c>
    </row>
    <row r="148" spans="1:18">
      <c r="A148" t="s">
        <v>224</v>
      </c>
      <c r="B148" s="2">
        <v>45914</v>
      </c>
      <c r="C148" t="s">
        <v>40</v>
      </c>
      <c r="D148" t="s">
        <v>115</v>
      </c>
      <c r="E148" t="s">
        <v>42</v>
      </c>
      <c r="F148" t="s">
        <v>22</v>
      </c>
      <c r="G148" t="s">
        <v>105</v>
      </c>
      <c r="H148" t="s">
        <v>24</v>
      </c>
      <c r="I148">
        <v>3</v>
      </c>
      <c r="J148">
        <v>3130</v>
      </c>
      <c r="K148">
        <v>0.03</v>
      </c>
      <c r="L148" t="s">
        <v>64</v>
      </c>
      <c r="M148" t="s">
        <v>44</v>
      </c>
      <c r="N148" t="s">
        <v>27</v>
      </c>
      <c r="O148">
        <v>9390</v>
      </c>
      <c r="P148">
        <v>281.7</v>
      </c>
      <c r="Q148">
        <v>9108.2999999999993</v>
      </c>
      <c r="R148">
        <v>3</v>
      </c>
    </row>
    <row r="149" spans="1:18">
      <c r="A149" t="s">
        <v>225</v>
      </c>
      <c r="B149" s="2">
        <v>45915</v>
      </c>
      <c r="C149" t="s">
        <v>29</v>
      </c>
      <c r="D149" t="s">
        <v>78</v>
      </c>
      <c r="E149" t="s">
        <v>42</v>
      </c>
      <c r="F149" t="s">
        <v>22</v>
      </c>
      <c r="G149" t="s">
        <v>58</v>
      </c>
      <c r="H149" t="s">
        <v>59</v>
      </c>
      <c r="I149">
        <v>2</v>
      </c>
      <c r="J149">
        <v>7070</v>
      </c>
      <c r="K149">
        <v>0.03</v>
      </c>
      <c r="L149" t="s">
        <v>68</v>
      </c>
      <c r="M149" t="s">
        <v>55</v>
      </c>
      <c r="N149" t="s">
        <v>27</v>
      </c>
      <c r="O149">
        <v>14140</v>
      </c>
      <c r="P149">
        <v>424.2</v>
      </c>
      <c r="Q149">
        <v>13715.8</v>
      </c>
      <c r="R149">
        <v>3</v>
      </c>
    </row>
    <row r="150" spans="1:18">
      <c r="A150" t="s">
        <v>226</v>
      </c>
      <c r="B150" s="2">
        <v>45915</v>
      </c>
      <c r="C150" t="s">
        <v>29</v>
      </c>
      <c r="D150" t="s">
        <v>85</v>
      </c>
      <c r="E150" t="s">
        <v>70</v>
      </c>
      <c r="F150" t="s">
        <v>22</v>
      </c>
      <c r="G150" t="s">
        <v>23</v>
      </c>
      <c r="H150" t="s">
        <v>24</v>
      </c>
      <c r="I150">
        <v>1</v>
      </c>
      <c r="J150">
        <v>29650</v>
      </c>
      <c r="K150">
        <v>0.1</v>
      </c>
      <c r="L150" t="s">
        <v>25</v>
      </c>
      <c r="M150" t="s">
        <v>71</v>
      </c>
      <c r="N150" t="s">
        <v>27</v>
      </c>
      <c r="O150">
        <v>29650</v>
      </c>
      <c r="P150">
        <v>2965</v>
      </c>
      <c r="Q150">
        <v>26685</v>
      </c>
      <c r="R150">
        <v>2</v>
      </c>
    </row>
    <row r="151" spans="1:18">
      <c r="A151" t="s">
        <v>227</v>
      </c>
      <c r="B151" s="2">
        <v>45916</v>
      </c>
      <c r="C151" t="s">
        <v>19</v>
      </c>
      <c r="D151" t="s">
        <v>20</v>
      </c>
      <c r="E151" t="s">
        <v>70</v>
      </c>
      <c r="F151" t="s">
        <v>22</v>
      </c>
      <c r="G151" t="s">
        <v>43</v>
      </c>
      <c r="H151" t="s">
        <v>33</v>
      </c>
      <c r="I151">
        <v>3</v>
      </c>
      <c r="J151">
        <v>970</v>
      </c>
      <c r="K151">
        <v>0.15</v>
      </c>
      <c r="L151" t="s">
        <v>64</v>
      </c>
      <c r="M151" t="s">
        <v>44</v>
      </c>
      <c r="N151" t="s">
        <v>27</v>
      </c>
      <c r="O151">
        <v>2910</v>
      </c>
      <c r="P151">
        <v>436.5</v>
      </c>
      <c r="Q151">
        <v>2473.5</v>
      </c>
      <c r="R151">
        <v>6</v>
      </c>
    </row>
    <row r="152" spans="1:18">
      <c r="A152" t="s">
        <v>228</v>
      </c>
      <c r="B152" s="2">
        <v>45916</v>
      </c>
      <c r="C152" t="s">
        <v>40</v>
      </c>
      <c r="D152" t="s">
        <v>89</v>
      </c>
      <c r="E152" t="s">
        <v>42</v>
      </c>
      <c r="F152" t="s">
        <v>22</v>
      </c>
      <c r="G152" t="s">
        <v>58</v>
      </c>
      <c r="H152" t="s">
        <v>59</v>
      </c>
      <c r="I152">
        <v>1</v>
      </c>
      <c r="J152">
        <v>7180</v>
      </c>
      <c r="K152">
        <v>0.1</v>
      </c>
      <c r="L152" t="s">
        <v>34</v>
      </c>
      <c r="M152" t="s">
        <v>55</v>
      </c>
      <c r="N152" t="s">
        <v>27</v>
      </c>
      <c r="O152">
        <v>7180</v>
      </c>
      <c r="P152">
        <v>718</v>
      </c>
      <c r="Q152">
        <v>6462</v>
      </c>
      <c r="R152">
        <v>2</v>
      </c>
    </row>
    <row r="153" spans="1:18">
      <c r="A153" t="s">
        <v>229</v>
      </c>
      <c r="B153" s="2">
        <v>45918</v>
      </c>
      <c r="C153" t="s">
        <v>29</v>
      </c>
      <c r="D153" t="s">
        <v>30</v>
      </c>
      <c r="E153" t="s">
        <v>70</v>
      </c>
      <c r="F153" t="s">
        <v>31</v>
      </c>
      <c r="G153" t="s">
        <v>62</v>
      </c>
      <c r="H153" t="s">
        <v>33</v>
      </c>
      <c r="I153">
        <v>2</v>
      </c>
      <c r="J153">
        <v>1870</v>
      </c>
      <c r="K153">
        <v>0.03</v>
      </c>
      <c r="L153" t="s">
        <v>34</v>
      </c>
      <c r="M153" t="s">
        <v>38</v>
      </c>
      <c r="N153" t="s">
        <v>27</v>
      </c>
      <c r="O153">
        <v>3740</v>
      </c>
      <c r="P153">
        <v>112.2</v>
      </c>
      <c r="Q153">
        <v>3627.8</v>
      </c>
      <c r="R153">
        <v>3</v>
      </c>
    </row>
    <row r="154" spans="1:18">
      <c r="A154" t="s">
        <v>230</v>
      </c>
      <c r="B154" s="2">
        <v>45918</v>
      </c>
      <c r="C154" t="s">
        <v>82</v>
      </c>
      <c r="D154" t="s">
        <v>83</v>
      </c>
      <c r="E154" t="s">
        <v>42</v>
      </c>
      <c r="F154" t="s">
        <v>22</v>
      </c>
      <c r="G154" t="s">
        <v>73</v>
      </c>
      <c r="H154" t="s">
        <v>74</v>
      </c>
      <c r="I154">
        <v>1</v>
      </c>
      <c r="J154">
        <v>12120</v>
      </c>
      <c r="K154">
        <v>0.05</v>
      </c>
      <c r="L154" t="s">
        <v>68</v>
      </c>
      <c r="M154" t="s">
        <v>35</v>
      </c>
      <c r="N154" t="s">
        <v>27</v>
      </c>
      <c r="O154">
        <v>12120</v>
      </c>
      <c r="P154">
        <v>606</v>
      </c>
      <c r="Q154">
        <v>11514</v>
      </c>
      <c r="R154">
        <v>4</v>
      </c>
    </row>
    <row r="155" spans="1:18">
      <c r="A155" t="s">
        <v>231</v>
      </c>
      <c r="B155" s="2">
        <v>45919</v>
      </c>
      <c r="C155" t="s">
        <v>19</v>
      </c>
      <c r="D155" t="s">
        <v>20</v>
      </c>
      <c r="E155" t="s">
        <v>42</v>
      </c>
      <c r="F155" t="s">
        <v>22</v>
      </c>
      <c r="G155" t="s">
        <v>58</v>
      </c>
      <c r="H155" t="s">
        <v>59</v>
      </c>
      <c r="I155">
        <v>4</v>
      </c>
      <c r="J155">
        <v>7220</v>
      </c>
      <c r="K155">
        <v>0</v>
      </c>
      <c r="L155" t="s">
        <v>34</v>
      </c>
      <c r="M155" t="s">
        <v>26</v>
      </c>
      <c r="N155" t="s">
        <v>27</v>
      </c>
      <c r="O155">
        <v>28880</v>
      </c>
      <c r="P155">
        <v>0</v>
      </c>
      <c r="Q155">
        <v>28880</v>
      </c>
      <c r="R155">
        <v>3</v>
      </c>
    </row>
    <row r="156" spans="1:18">
      <c r="A156" t="s">
        <v>232</v>
      </c>
      <c r="B156" s="2">
        <v>45919</v>
      </c>
      <c r="C156" t="s">
        <v>19</v>
      </c>
      <c r="D156" t="s">
        <v>52</v>
      </c>
      <c r="E156" t="s">
        <v>21</v>
      </c>
      <c r="F156" t="s">
        <v>31</v>
      </c>
      <c r="G156" t="s">
        <v>43</v>
      </c>
      <c r="H156" t="s">
        <v>33</v>
      </c>
      <c r="I156">
        <v>1</v>
      </c>
      <c r="J156">
        <v>940</v>
      </c>
      <c r="K156">
        <v>0.03</v>
      </c>
      <c r="L156" t="s">
        <v>64</v>
      </c>
      <c r="M156" t="s">
        <v>26</v>
      </c>
      <c r="N156" t="s">
        <v>45</v>
      </c>
      <c r="O156">
        <v>0</v>
      </c>
      <c r="P156">
        <v>0</v>
      </c>
      <c r="Q156">
        <v>0</v>
      </c>
    </row>
    <row r="157" spans="1:18">
      <c r="A157" t="s">
        <v>233</v>
      </c>
      <c r="B157" s="2">
        <v>45921</v>
      </c>
      <c r="C157" t="s">
        <v>40</v>
      </c>
      <c r="D157" t="s">
        <v>41</v>
      </c>
      <c r="E157" t="s">
        <v>42</v>
      </c>
      <c r="F157" t="s">
        <v>22</v>
      </c>
      <c r="G157" t="s">
        <v>73</v>
      </c>
      <c r="H157" t="s">
        <v>74</v>
      </c>
      <c r="I157">
        <v>2</v>
      </c>
      <c r="J157">
        <v>11640</v>
      </c>
      <c r="K157">
        <v>0.08</v>
      </c>
      <c r="L157" t="s">
        <v>64</v>
      </c>
      <c r="M157" t="s">
        <v>66</v>
      </c>
      <c r="N157" t="s">
        <v>27</v>
      </c>
      <c r="O157">
        <v>23280</v>
      </c>
      <c r="P157">
        <v>1862.4</v>
      </c>
      <c r="Q157">
        <v>21417.599999999999</v>
      </c>
      <c r="R157">
        <v>5</v>
      </c>
    </row>
    <row r="158" spans="1:18">
      <c r="A158" t="s">
        <v>234</v>
      </c>
      <c r="B158" s="2">
        <v>45922</v>
      </c>
      <c r="C158" t="s">
        <v>40</v>
      </c>
      <c r="D158" t="s">
        <v>47</v>
      </c>
      <c r="E158" t="s">
        <v>21</v>
      </c>
      <c r="F158" t="s">
        <v>53</v>
      </c>
      <c r="G158" t="s">
        <v>73</v>
      </c>
      <c r="H158" t="s">
        <v>74</v>
      </c>
      <c r="I158">
        <v>1</v>
      </c>
      <c r="J158">
        <v>10900</v>
      </c>
      <c r="K158">
        <v>0</v>
      </c>
      <c r="L158" t="s">
        <v>64</v>
      </c>
      <c r="M158" t="s">
        <v>44</v>
      </c>
      <c r="N158" t="s">
        <v>27</v>
      </c>
      <c r="O158">
        <v>10900</v>
      </c>
      <c r="P158">
        <v>0</v>
      </c>
      <c r="Q158">
        <v>10900</v>
      </c>
      <c r="R158">
        <v>2</v>
      </c>
    </row>
    <row r="159" spans="1:18">
      <c r="A159" t="s">
        <v>235</v>
      </c>
      <c r="B159" s="2">
        <v>45923</v>
      </c>
      <c r="C159" t="s">
        <v>82</v>
      </c>
      <c r="D159" t="s">
        <v>122</v>
      </c>
      <c r="E159" t="s">
        <v>42</v>
      </c>
      <c r="F159" t="s">
        <v>22</v>
      </c>
      <c r="G159" t="s">
        <v>62</v>
      </c>
      <c r="H159" t="s">
        <v>33</v>
      </c>
      <c r="I159">
        <v>3</v>
      </c>
      <c r="J159">
        <v>1750</v>
      </c>
      <c r="K159">
        <v>0</v>
      </c>
      <c r="L159" t="s">
        <v>25</v>
      </c>
      <c r="M159" t="s">
        <v>66</v>
      </c>
      <c r="N159" t="s">
        <v>130</v>
      </c>
      <c r="O159">
        <v>5250</v>
      </c>
      <c r="P159">
        <v>0</v>
      </c>
      <c r="Q159">
        <v>5250</v>
      </c>
      <c r="R159">
        <v>3</v>
      </c>
    </row>
    <row r="160" spans="1:18">
      <c r="A160" t="s">
        <v>236</v>
      </c>
      <c r="B160" s="2">
        <v>45923</v>
      </c>
      <c r="C160" t="s">
        <v>82</v>
      </c>
      <c r="D160" t="s">
        <v>83</v>
      </c>
      <c r="E160" t="s">
        <v>42</v>
      </c>
      <c r="F160" t="s">
        <v>31</v>
      </c>
      <c r="G160" t="s">
        <v>152</v>
      </c>
      <c r="H160" t="s">
        <v>74</v>
      </c>
      <c r="I160">
        <v>2</v>
      </c>
      <c r="J160">
        <v>15160</v>
      </c>
      <c r="K160">
        <v>0.05</v>
      </c>
      <c r="L160" t="s">
        <v>64</v>
      </c>
      <c r="M160" t="s">
        <v>66</v>
      </c>
      <c r="N160" t="s">
        <v>27</v>
      </c>
      <c r="O160">
        <v>30320</v>
      </c>
      <c r="P160">
        <v>1516</v>
      </c>
      <c r="Q160">
        <v>28804</v>
      </c>
      <c r="R160">
        <v>4</v>
      </c>
    </row>
    <row r="161" spans="1:18">
      <c r="A161" t="s">
        <v>237</v>
      </c>
      <c r="B161" s="2">
        <v>45924</v>
      </c>
      <c r="C161" t="s">
        <v>19</v>
      </c>
      <c r="D161" t="s">
        <v>20</v>
      </c>
      <c r="E161" t="s">
        <v>70</v>
      </c>
      <c r="F161" t="s">
        <v>22</v>
      </c>
      <c r="G161" t="s">
        <v>37</v>
      </c>
      <c r="H161" t="s">
        <v>24</v>
      </c>
      <c r="I161">
        <v>1</v>
      </c>
      <c r="J161">
        <v>57830</v>
      </c>
      <c r="K161">
        <v>0.08</v>
      </c>
      <c r="L161" t="s">
        <v>64</v>
      </c>
      <c r="M161" t="s">
        <v>66</v>
      </c>
      <c r="N161" t="s">
        <v>27</v>
      </c>
      <c r="O161">
        <v>57830</v>
      </c>
      <c r="P161">
        <v>4626.3999999999996</v>
      </c>
      <c r="Q161">
        <v>53203.6</v>
      </c>
      <c r="R161">
        <v>3</v>
      </c>
    </row>
    <row r="162" spans="1:18">
      <c r="A162" t="s">
        <v>238</v>
      </c>
      <c r="B162" s="2">
        <v>45926</v>
      </c>
      <c r="C162" t="s">
        <v>40</v>
      </c>
      <c r="D162" t="s">
        <v>89</v>
      </c>
      <c r="E162" t="s">
        <v>42</v>
      </c>
      <c r="F162" t="s">
        <v>31</v>
      </c>
      <c r="G162" t="s">
        <v>58</v>
      </c>
      <c r="H162" t="s">
        <v>59</v>
      </c>
      <c r="I162">
        <v>2</v>
      </c>
      <c r="J162">
        <v>6830</v>
      </c>
      <c r="K162">
        <v>0.05</v>
      </c>
      <c r="L162" t="s">
        <v>64</v>
      </c>
      <c r="M162" t="s">
        <v>71</v>
      </c>
      <c r="N162" t="s">
        <v>27</v>
      </c>
      <c r="O162">
        <v>13660</v>
      </c>
      <c r="P162">
        <v>683</v>
      </c>
      <c r="Q162">
        <v>12977</v>
      </c>
      <c r="R162">
        <v>2</v>
      </c>
    </row>
    <row r="163" spans="1:18">
      <c r="A163" t="s">
        <v>239</v>
      </c>
      <c r="B163" s="2">
        <v>45927</v>
      </c>
      <c r="C163" t="s">
        <v>19</v>
      </c>
      <c r="D163" t="s">
        <v>103</v>
      </c>
      <c r="E163" t="s">
        <v>21</v>
      </c>
      <c r="F163" t="s">
        <v>53</v>
      </c>
      <c r="G163" t="s">
        <v>95</v>
      </c>
      <c r="H163" t="s">
        <v>24</v>
      </c>
      <c r="I163">
        <v>3</v>
      </c>
      <c r="J163">
        <v>21800</v>
      </c>
      <c r="K163">
        <v>0.05</v>
      </c>
      <c r="L163" t="s">
        <v>64</v>
      </c>
      <c r="M163" t="s">
        <v>38</v>
      </c>
      <c r="N163" t="s">
        <v>27</v>
      </c>
      <c r="O163">
        <v>65400</v>
      </c>
      <c r="P163">
        <v>3270</v>
      </c>
      <c r="Q163">
        <v>62130</v>
      </c>
      <c r="R163">
        <v>2</v>
      </c>
    </row>
    <row r="164" spans="1:18">
      <c r="A164" t="s">
        <v>240</v>
      </c>
      <c r="B164" s="2">
        <v>45927</v>
      </c>
      <c r="C164" t="s">
        <v>40</v>
      </c>
      <c r="D164" t="s">
        <v>47</v>
      </c>
      <c r="E164" t="s">
        <v>21</v>
      </c>
      <c r="F164" t="s">
        <v>22</v>
      </c>
      <c r="G164" t="s">
        <v>43</v>
      </c>
      <c r="H164" t="s">
        <v>33</v>
      </c>
      <c r="I164">
        <v>1</v>
      </c>
      <c r="J164">
        <v>990</v>
      </c>
      <c r="K164">
        <v>0.03</v>
      </c>
      <c r="L164" t="s">
        <v>64</v>
      </c>
      <c r="M164" t="s">
        <v>44</v>
      </c>
      <c r="N164" t="s">
        <v>27</v>
      </c>
      <c r="O164">
        <v>990</v>
      </c>
      <c r="P164">
        <v>29.7</v>
      </c>
      <c r="Q164">
        <v>960.3</v>
      </c>
      <c r="R164">
        <v>2</v>
      </c>
    </row>
    <row r="165" spans="1:18">
      <c r="A165" t="s">
        <v>241</v>
      </c>
      <c r="B165" s="2">
        <v>45927</v>
      </c>
      <c r="C165" t="s">
        <v>29</v>
      </c>
      <c r="D165" t="s">
        <v>85</v>
      </c>
      <c r="E165" t="s">
        <v>70</v>
      </c>
      <c r="F165" t="s">
        <v>22</v>
      </c>
      <c r="G165" t="s">
        <v>105</v>
      </c>
      <c r="H165" t="s">
        <v>24</v>
      </c>
      <c r="I165">
        <v>1</v>
      </c>
      <c r="J165">
        <v>3280</v>
      </c>
      <c r="K165">
        <v>0.08</v>
      </c>
      <c r="L165" t="s">
        <v>34</v>
      </c>
      <c r="M165" t="s">
        <v>55</v>
      </c>
      <c r="N165" t="s">
        <v>45</v>
      </c>
      <c r="O165">
        <v>0</v>
      </c>
      <c r="P165">
        <v>0</v>
      </c>
      <c r="Q165">
        <v>0</v>
      </c>
    </row>
    <row r="166" spans="1:18">
      <c r="A166" t="s">
        <v>242</v>
      </c>
      <c r="B166" s="2">
        <v>45927</v>
      </c>
      <c r="C166" t="s">
        <v>29</v>
      </c>
      <c r="D166" t="s">
        <v>78</v>
      </c>
      <c r="E166" t="s">
        <v>21</v>
      </c>
      <c r="F166" t="s">
        <v>22</v>
      </c>
      <c r="G166" t="s">
        <v>149</v>
      </c>
      <c r="H166" t="s">
        <v>33</v>
      </c>
      <c r="I166">
        <v>3</v>
      </c>
      <c r="J166">
        <v>3580</v>
      </c>
      <c r="K166">
        <v>0.08</v>
      </c>
      <c r="L166" t="s">
        <v>68</v>
      </c>
      <c r="M166" t="s">
        <v>35</v>
      </c>
      <c r="N166" t="s">
        <v>27</v>
      </c>
      <c r="O166">
        <v>10740</v>
      </c>
      <c r="P166">
        <v>859.2</v>
      </c>
      <c r="Q166">
        <v>9880.7999999999993</v>
      </c>
      <c r="R166">
        <v>4</v>
      </c>
    </row>
    <row r="167" spans="1:18">
      <c r="A167" t="s">
        <v>243</v>
      </c>
      <c r="B167" s="2">
        <v>45928</v>
      </c>
      <c r="C167" t="s">
        <v>29</v>
      </c>
      <c r="D167" t="s">
        <v>61</v>
      </c>
      <c r="E167" t="s">
        <v>42</v>
      </c>
      <c r="F167" t="s">
        <v>22</v>
      </c>
      <c r="G167" t="s">
        <v>23</v>
      </c>
      <c r="H167" t="s">
        <v>24</v>
      </c>
      <c r="I167">
        <v>3</v>
      </c>
      <c r="J167">
        <v>29910</v>
      </c>
      <c r="K167">
        <v>0.05</v>
      </c>
      <c r="L167" t="s">
        <v>64</v>
      </c>
      <c r="M167" t="s">
        <v>35</v>
      </c>
      <c r="N167" t="s">
        <v>27</v>
      </c>
      <c r="O167">
        <v>89730</v>
      </c>
      <c r="P167">
        <v>4486.5</v>
      </c>
      <c r="Q167">
        <v>85243.5</v>
      </c>
      <c r="R167">
        <v>4</v>
      </c>
    </row>
    <row r="168" spans="1:18">
      <c r="A168" t="s">
        <v>244</v>
      </c>
      <c r="B168" s="2">
        <v>45928</v>
      </c>
      <c r="C168" t="s">
        <v>82</v>
      </c>
      <c r="D168" t="s">
        <v>83</v>
      </c>
      <c r="E168" t="s">
        <v>42</v>
      </c>
      <c r="F168" t="s">
        <v>31</v>
      </c>
      <c r="G168" t="s">
        <v>58</v>
      </c>
      <c r="H168" t="s">
        <v>59</v>
      </c>
      <c r="I168">
        <v>1</v>
      </c>
      <c r="J168">
        <v>7040</v>
      </c>
      <c r="K168">
        <v>0.03</v>
      </c>
      <c r="L168" t="s">
        <v>68</v>
      </c>
      <c r="M168" t="s">
        <v>55</v>
      </c>
      <c r="N168" t="s">
        <v>27</v>
      </c>
      <c r="O168">
        <v>7040</v>
      </c>
      <c r="P168">
        <v>211.2</v>
      </c>
      <c r="Q168">
        <v>6828.8</v>
      </c>
      <c r="R168">
        <v>2</v>
      </c>
    </row>
    <row r="169" spans="1:18">
      <c r="A169" t="s">
        <v>245</v>
      </c>
      <c r="B169" s="2">
        <v>45928</v>
      </c>
      <c r="C169" t="s">
        <v>40</v>
      </c>
      <c r="D169" t="s">
        <v>47</v>
      </c>
      <c r="E169" t="s">
        <v>21</v>
      </c>
      <c r="F169" t="s">
        <v>22</v>
      </c>
      <c r="G169" t="s">
        <v>73</v>
      </c>
      <c r="H169" t="s">
        <v>74</v>
      </c>
      <c r="I169">
        <v>1</v>
      </c>
      <c r="J169">
        <v>11810</v>
      </c>
      <c r="K169">
        <v>0</v>
      </c>
      <c r="L169" t="s">
        <v>68</v>
      </c>
      <c r="M169" t="s">
        <v>55</v>
      </c>
      <c r="N169" t="s">
        <v>27</v>
      </c>
      <c r="O169">
        <v>11810</v>
      </c>
      <c r="P169">
        <v>0</v>
      </c>
      <c r="Q169">
        <v>11810</v>
      </c>
      <c r="R169">
        <v>7</v>
      </c>
    </row>
    <row r="170" spans="1:18">
      <c r="A170" t="s">
        <v>246</v>
      </c>
      <c r="B170" s="2">
        <v>45928</v>
      </c>
      <c r="C170" t="s">
        <v>40</v>
      </c>
      <c r="D170" t="s">
        <v>115</v>
      </c>
      <c r="E170" t="s">
        <v>21</v>
      </c>
      <c r="F170" t="s">
        <v>22</v>
      </c>
      <c r="G170" t="s">
        <v>43</v>
      </c>
      <c r="H170" t="s">
        <v>33</v>
      </c>
      <c r="I170">
        <v>2</v>
      </c>
      <c r="J170">
        <v>1000</v>
      </c>
      <c r="K170">
        <v>0</v>
      </c>
      <c r="L170" t="s">
        <v>54</v>
      </c>
      <c r="M170" t="s">
        <v>66</v>
      </c>
      <c r="N170" t="s">
        <v>27</v>
      </c>
      <c r="O170">
        <v>2000</v>
      </c>
      <c r="P170">
        <v>0</v>
      </c>
      <c r="Q170">
        <v>2000</v>
      </c>
      <c r="R170">
        <v>5</v>
      </c>
    </row>
    <row r="171" spans="1:18">
      <c r="A171" t="s">
        <v>247</v>
      </c>
      <c r="B171" s="2">
        <v>45929</v>
      </c>
      <c r="C171" t="s">
        <v>40</v>
      </c>
      <c r="D171" t="s">
        <v>115</v>
      </c>
      <c r="E171" t="s">
        <v>42</v>
      </c>
      <c r="F171" t="s">
        <v>53</v>
      </c>
      <c r="G171" t="s">
        <v>23</v>
      </c>
      <c r="H171" t="s">
        <v>24</v>
      </c>
      <c r="I171">
        <v>2</v>
      </c>
      <c r="J171">
        <v>27300</v>
      </c>
      <c r="K171">
        <v>0.08</v>
      </c>
      <c r="L171" t="s">
        <v>34</v>
      </c>
      <c r="M171" t="s">
        <v>44</v>
      </c>
      <c r="N171" t="s">
        <v>27</v>
      </c>
      <c r="O171">
        <v>54600</v>
      </c>
      <c r="P171">
        <v>4368</v>
      </c>
      <c r="Q171">
        <v>50232</v>
      </c>
      <c r="R171">
        <v>3</v>
      </c>
    </row>
    <row r="172" spans="1:18">
      <c r="A172" t="s">
        <v>248</v>
      </c>
      <c r="B172" s="2">
        <v>45930</v>
      </c>
      <c r="C172" t="s">
        <v>29</v>
      </c>
      <c r="D172" t="s">
        <v>78</v>
      </c>
      <c r="E172" t="s">
        <v>70</v>
      </c>
      <c r="F172" t="s">
        <v>22</v>
      </c>
      <c r="G172" t="s">
        <v>23</v>
      </c>
      <c r="H172" t="s">
        <v>24</v>
      </c>
      <c r="I172">
        <v>1</v>
      </c>
      <c r="J172">
        <v>27340</v>
      </c>
      <c r="K172">
        <v>0.05</v>
      </c>
      <c r="L172" t="s">
        <v>54</v>
      </c>
      <c r="M172" t="s">
        <v>55</v>
      </c>
      <c r="N172" t="s">
        <v>27</v>
      </c>
      <c r="O172">
        <v>27340</v>
      </c>
      <c r="P172">
        <v>1367</v>
      </c>
      <c r="Q172">
        <v>25973</v>
      </c>
      <c r="R172">
        <v>2</v>
      </c>
    </row>
    <row r="173" spans="1:18">
      <c r="A173" t="s">
        <v>249</v>
      </c>
      <c r="B173" s="2">
        <v>45930</v>
      </c>
      <c r="C173" t="s">
        <v>29</v>
      </c>
      <c r="D173" t="s">
        <v>78</v>
      </c>
      <c r="E173" t="s">
        <v>21</v>
      </c>
      <c r="F173" t="s">
        <v>22</v>
      </c>
      <c r="G173" t="s">
        <v>149</v>
      </c>
      <c r="H173" t="s">
        <v>33</v>
      </c>
      <c r="I173">
        <v>1</v>
      </c>
      <c r="J173">
        <v>3400</v>
      </c>
      <c r="K173">
        <v>0.05</v>
      </c>
      <c r="L173" t="s">
        <v>54</v>
      </c>
      <c r="M173" t="s">
        <v>55</v>
      </c>
      <c r="N173" t="s">
        <v>27</v>
      </c>
      <c r="O173">
        <v>3400</v>
      </c>
      <c r="P173">
        <v>170</v>
      </c>
      <c r="Q173">
        <v>3230</v>
      </c>
      <c r="R173">
        <v>3</v>
      </c>
    </row>
    <row r="174" spans="1:18">
      <c r="A174" t="s">
        <v>250</v>
      </c>
      <c r="B174" s="2">
        <v>45931</v>
      </c>
      <c r="C174" t="s">
        <v>40</v>
      </c>
      <c r="D174" t="s">
        <v>47</v>
      </c>
      <c r="E174" t="s">
        <v>21</v>
      </c>
      <c r="F174" t="s">
        <v>53</v>
      </c>
      <c r="G174" t="s">
        <v>32</v>
      </c>
      <c r="H174" t="s">
        <v>33</v>
      </c>
      <c r="I174">
        <v>3</v>
      </c>
      <c r="J174">
        <v>2510</v>
      </c>
      <c r="K174">
        <v>0.05</v>
      </c>
      <c r="L174" t="s">
        <v>34</v>
      </c>
      <c r="M174" t="s">
        <v>35</v>
      </c>
      <c r="N174" t="s">
        <v>45</v>
      </c>
      <c r="O174">
        <v>0</v>
      </c>
      <c r="P174">
        <v>0</v>
      </c>
      <c r="Q174">
        <v>0</v>
      </c>
    </row>
    <row r="175" spans="1:18">
      <c r="A175" t="s">
        <v>251</v>
      </c>
      <c r="B175" s="2">
        <v>45932</v>
      </c>
      <c r="C175" t="s">
        <v>82</v>
      </c>
      <c r="D175" t="s">
        <v>178</v>
      </c>
      <c r="E175" t="s">
        <v>70</v>
      </c>
      <c r="F175" t="s">
        <v>31</v>
      </c>
      <c r="G175" t="s">
        <v>58</v>
      </c>
      <c r="H175" t="s">
        <v>59</v>
      </c>
      <c r="I175">
        <v>4</v>
      </c>
      <c r="J175">
        <v>6720</v>
      </c>
      <c r="K175">
        <v>0.15</v>
      </c>
      <c r="L175" t="s">
        <v>68</v>
      </c>
      <c r="M175" t="s">
        <v>26</v>
      </c>
      <c r="N175" t="s">
        <v>27</v>
      </c>
      <c r="O175">
        <v>26880</v>
      </c>
      <c r="P175">
        <v>4032</v>
      </c>
      <c r="Q175">
        <v>22848</v>
      </c>
      <c r="R175">
        <v>3</v>
      </c>
    </row>
    <row r="176" spans="1:18">
      <c r="A176" t="s">
        <v>252</v>
      </c>
      <c r="B176" s="2">
        <v>45933</v>
      </c>
      <c r="C176" t="s">
        <v>40</v>
      </c>
      <c r="D176" t="s">
        <v>41</v>
      </c>
      <c r="E176" t="s">
        <v>70</v>
      </c>
      <c r="F176" t="s">
        <v>31</v>
      </c>
      <c r="G176" t="s">
        <v>149</v>
      </c>
      <c r="H176" t="s">
        <v>33</v>
      </c>
      <c r="I176">
        <v>1</v>
      </c>
      <c r="J176">
        <v>3410</v>
      </c>
      <c r="K176">
        <v>0.05</v>
      </c>
      <c r="L176" t="s">
        <v>64</v>
      </c>
      <c r="M176" t="s">
        <v>35</v>
      </c>
      <c r="N176" t="s">
        <v>27</v>
      </c>
      <c r="O176">
        <v>3410</v>
      </c>
      <c r="P176">
        <v>170.5</v>
      </c>
      <c r="Q176">
        <v>3239.5</v>
      </c>
      <c r="R176">
        <v>5</v>
      </c>
    </row>
    <row r="177" spans="1:18">
      <c r="A177" t="s">
        <v>253</v>
      </c>
      <c r="B177" s="2">
        <v>45934</v>
      </c>
      <c r="C177" t="s">
        <v>40</v>
      </c>
      <c r="D177" t="s">
        <v>89</v>
      </c>
      <c r="E177" t="s">
        <v>21</v>
      </c>
      <c r="F177" t="s">
        <v>31</v>
      </c>
      <c r="G177" t="s">
        <v>101</v>
      </c>
      <c r="H177" t="s">
        <v>33</v>
      </c>
      <c r="I177">
        <v>3</v>
      </c>
      <c r="J177">
        <v>1700</v>
      </c>
      <c r="K177">
        <v>0</v>
      </c>
      <c r="L177" t="s">
        <v>34</v>
      </c>
      <c r="M177" t="s">
        <v>71</v>
      </c>
      <c r="N177" t="s">
        <v>27</v>
      </c>
      <c r="O177">
        <v>5100</v>
      </c>
      <c r="P177">
        <v>0</v>
      </c>
      <c r="Q177">
        <v>5100</v>
      </c>
      <c r="R177">
        <v>2</v>
      </c>
    </row>
    <row r="178" spans="1:18">
      <c r="A178" t="s">
        <v>254</v>
      </c>
      <c r="B178" s="2">
        <v>45935</v>
      </c>
      <c r="C178" t="s">
        <v>40</v>
      </c>
      <c r="D178" t="s">
        <v>41</v>
      </c>
      <c r="E178" t="s">
        <v>21</v>
      </c>
      <c r="F178" t="s">
        <v>22</v>
      </c>
      <c r="G178" t="s">
        <v>37</v>
      </c>
      <c r="H178" t="s">
        <v>24</v>
      </c>
      <c r="I178">
        <v>2</v>
      </c>
      <c r="J178">
        <v>66280</v>
      </c>
      <c r="K178">
        <v>0.03</v>
      </c>
      <c r="L178" t="s">
        <v>34</v>
      </c>
      <c r="M178" t="s">
        <v>50</v>
      </c>
      <c r="N178" t="s">
        <v>27</v>
      </c>
      <c r="O178">
        <v>132560</v>
      </c>
      <c r="P178">
        <v>3976.8</v>
      </c>
      <c r="Q178">
        <v>128583.2</v>
      </c>
      <c r="R178">
        <v>4</v>
      </c>
    </row>
    <row r="179" spans="1:18">
      <c r="A179" t="s">
        <v>255</v>
      </c>
      <c r="B179" s="2">
        <v>45935</v>
      </c>
      <c r="C179" t="s">
        <v>82</v>
      </c>
      <c r="D179" t="s">
        <v>178</v>
      </c>
      <c r="E179" t="s">
        <v>21</v>
      </c>
      <c r="F179" t="s">
        <v>22</v>
      </c>
      <c r="G179" t="s">
        <v>95</v>
      </c>
      <c r="H179" t="s">
        <v>24</v>
      </c>
      <c r="I179">
        <v>1</v>
      </c>
      <c r="J179">
        <v>23320</v>
      </c>
      <c r="K179">
        <v>0.05</v>
      </c>
      <c r="L179" t="s">
        <v>25</v>
      </c>
      <c r="M179" t="s">
        <v>26</v>
      </c>
      <c r="N179" t="s">
        <v>27</v>
      </c>
      <c r="O179">
        <v>23320</v>
      </c>
      <c r="P179">
        <v>1166</v>
      </c>
      <c r="Q179">
        <v>22154</v>
      </c>
      <c r="R179">
        <v>5</v>
      </c>
    </row>
    <row r="180" spans="1:18">
      <c r="A180" t="s">
        <v>256</v>
      </c>
      <c r="B180" s="2">
        <v>45936</v>
      </c>
      <c r="C180" t="s">
        <v>29</v>
      </c>
      <c r="D180" t="s">
        <v>30</v>
      </c>
      <c r="E180" t="s">
        <v>21</v>
      </c>
      <c r="F180" t="s">
        <v>22</v>
      </c>
      <c r="G180" t="s">
        <v>37</v>
      </c>
      <c r="H180" t="s">
        <v>24</v>
      </c>
      <c r="I180">
        <v>1</v>
      </c>
      <c r="J180">
        <v>57700</v>
      </c>
      <c r="K180">
        <v>0.03</v>
      </c>
      <c r="L180" t="s">
        <v>25</v>
      </c>
      <c r="M180" t="s">
        <v>71</v>
      </c>
      <c r="N180" t="s">
        <v>27</v>
      </c>
      <c r="O180">
        <v>57700</v>
      </c>
      <c r="P180">
        <v>1731</v>
      </c>
      <c r="Q180">
        <v>55969</v>
      </c>
      <c r="R180">
        <v>4</v>
      </c>
    </row>
    <row r="181" spans="1:18">
      <c r="A181" t="s">
        <v>257</v>
      </c>
      <c r="B181" s="2">
        <v>45937</v>
      </c>
      <c r="C181" t="s">
        <v>82</v>
      </c>
      <c r="D181" t="s">
        <v>83</v>
      </c>
      <c r="E181" t="s">
        <v>42</v>
      </c>
      <c r="F181" t="s">
        <v>31</v>
      </c>
      <c r="G181" t="s">
        <v>43</v>
      </c>
      <c r="H181" t="s">
        <v>33</v>
      </c>
      <c r="I181">
        <v>1</v>
      </c>
      <c r="J181">
        <v>1010</v>
      </c>
      <c r="K181">
        <v>0.08</v>
      </c>
      <c r="L181" t="s">
        <v>54</v>
      </c>
      <c r="M181" t="s">
        <v>26</v>
      </c>
      <c r="N181" t="s">
        <v>27</v>
      </c>
      <c r="O181">
        <v>1010</v>
      </c>
      <c r="P181">
        <v>80.8</v>
      </c>
      <c r="Q181">
        <v>929.2</v>
      </c>
      <c r="R181">
        <v>4</v>
      </c>
    </row>
    <row r="182" spans="1:18">
      <c r="A182" t="s">
        <v>258</v>
      </c>
      <c r="B182" s="2">
        <v>45937</v>
      </c>
      <c r="C182" t="s">
        <v>82</v>
      </c>
      <c r="D182" t="s">
        <v>122</v>
      </c>
      <c r="E182" t="s">
        <v>42</v>
      </c>
      <c r="F182" t="s">
        <v>22</v>
      </c>
      <c r="G182" t="s">
        <v>152</v>
      </c>
      <c r="H182" t="s">
        <v>74</v>
      </c>
      <c r="I182">
        <v>2</v>
      </c>
      <c r="J182">
        <v>14130</v>
      </c>
      <c r="K182">
        <v>0.15</v>
      </c>
      <c r="L182" t="s">
        <v>34</v>
      </c>
      <c r="M182" t="s">
        <v>38</v>
      </c>
      <c r="N182" t="s">
        <v>27</v>
      </c>
      <c r="O182">
        <v>28260</v>
      </c>
      <c r="P182">
        <v>4239</v>
      </c>
      <c r="Q182">
        <v>24021</v>
      </c>
      <c r="R182">
        <v>2</v>
      </c>
    </row>
    <row r="183" spans="1:18">
      <c r="A183" t="s">
        <v>259</v>
      </c>
      <c r="B183" s="2">
        <v>45938</v>
      </c>
      <c r="C183" t="s">
        <v>40</v>
      </c>
      <c r="D183" t="s">
        <v>115</v>
      </c>
      <c r="E183" t="s">
        <v>21</v>
      </c>
      <c r="F183" t="s">
        <v>31</v>
      </c>
      <c r="G183" t="s">
        <v>58</v>
      </c>
      <c r="H183" t="s">
        <v>59</v>
      </c>
      <c r="I183">
        <v>1</v>
      </c>
      <c r="J183">
        <v>6950</v>
      </c>
      <c r="K183">
        <v>0.03</v>
      </c>
      <c r="L183" t="s">
        <v>34</v>
      </c>
      <c r="M183" t="s">
        <v>44</v>
      </c>
      <c r="N183" t="s">
        <v>45</v>
      </c>
      <c r="O183">
        <v>0</v>
      </c>
      <c r="P183">
        <v>0</v>
      </c>
      <c r="Q183">
        <v>0</v>
      </c>
    </row>
    <row r="184" spans="1:18">
      <c r="A184" t="s">
        <v>260</v>
      </c>
      <c r="B184" s="2">
        <v>45938</v>
      </c>
      <c r="C184" t="s">
        <v>19</v>
      </c>
      <c r="D184" t="s">
        <v>52</v>
      </c>
      <c r="E184" t="s">
        <v>21</v>
      </c>
      <c r="F184" t="s">
        <v>22</v>
      </c>
      <c r="G184" t="s">
        <v>152</v>
      </c>
      <c r="H184" t="s">
        <v>74</v>
      </c>
      <c r="I184">
        <v>2</v>
      </c>
      <c r="J184">
        <v>13910</v>
      </c>
      <c r="K184">
        <v>0.08</v>
      </c>
      <c r="L184" t="s">
        <v>54</v>
      </c>
      <c r="M184" t="s">
        <v>26</v>
      </c>
      <c r="N184" t="s">
        <v>27</v>
      </c>
      <c r="O184">
        <v>27820</v>
      </c>
      <c r="P184">
        <v>2225.6</v>
      </c>
      <c r="Q184">
        <v>25594.400000000001</v>
      </c>
      <c r="R184">
        <v>4</v>
      </c>
    </row>
    <row r="185" spans="1:18">
      <c r="A185" t="s">
        <v>261</v>
      </c>
      <c r="B185" s="2">
        <v>45940</v>
      </c>
      <c r="C185" t="s">
        <v>29</v>
      </c>
      <c r="D185" t="s">
        <v>78</v>
      </c>
      <c r="E185" t="s">
        <v>42</v>
      </c>
      <c r="F185" t="s">
        <v>53</v>
      </c>
      <c r="G185" t="s">
        <v>23</v>
      </c>
      <c r="H185" t="s">
        <v>24</v>
      </c>
      <c r="I185">
        <v>2</v>
      </c>
      <c r="J185">
        <v>26710</v>
      </c>
      <c r="K185">
        <v>0.05</v>
      </c>
      <c r="L185" t="s">
        <v>34</v>
      </c>
      <c r="M185" t="s">
        <v>66</v>
      </c>
      <c r="N185" t="s">
        <v>27</v>
      </c>
      <c r="O185">
        <v>53420</v>
      </c>
      <c r="P185">
        <v>2671</v>
      </c>
      <c r="Q185">
        <v>50749</v>
      </c>
      <c r="R185">
        <v>3</v>
      </c>
    </row>
    <row r="186" spans="1:18">
      <c r="A186" t="s">
        <v>262</v>
      </c>
      <c r="B186" s="2">
        <v>45940</v>
      </c>
      <c r="C186" t="s">
        <v>82</v>
      </c>
      <c r="D186" t="s">
        <v>178</v>
      </c>
      <c r="E186" t="s">
        <v>42</v>
      </c>
      <c r="F186" t="s">
        <v>22</v>
      </c>
      <c r="G186" t="s">
        <v>95</v>
      </c>
      <c r="H186" t="s">
        <v>24</v>
      </c>
      <c r="I186">
        <v>2</v>
      </c>
      <c r="J186">
        <v>20980</v>
      </c>
      <c r="K186">
        <v>0.05</v>
      </c>
      <c r="L186" t="s">
        <v>64</v>
      </c>
      <c r="M186" t="s">
        <v>66</v>
      </c>
      <c r="N186" t="s">
        <v>27</v>
      </c>
      <c r="O186">
        <v>41960</v>
      </c>
      <c r="P186">
        <v>2098</v>
      </c>
      <c r="Q186">
        <v>39862</v>
      </c>
      <c r="R186">
        <v>3</v>
      </c>
    </row>
    <row r="187" spans="1:18">
      <c r="A187" t="s">
        <v>263</v>
      </c>
      <c r="B187" s="2">
        <v>45941</v>
      </c>
      <c r="C187" t="s">
        <v>40</v>
      </c>
      <c r="D187" t="s">
        <v>47</v>
      </c>
      <c r="E187" t="s">
        <v>21</v>
      </c>
      <c r="F187" t="s">
        <v>53</v>
      </c>
      <c r="G187" t="s">
        <v>58</v>
      </c>
      <c r="H187" t="s">
        <v>59</v>
      </c>
      <c r="I187">
        <v>1</v>
      </c>
      <c r="J187">
        <v>7650</v>
      </c>
      <c r="K187">
        <v>0</v>
      </c>
      <c r="L187" t="s">
        <v>68</v>
      </c>
      <c r="M187" t="s">
        <v>26</v>
      </c>
      <c r="N187" t="s">
        <v>27</v>
      </c>
      <c r="O187">
        <v>7650</v>
      </c>
      <c r="P187">
        <v>0</v>
      </c>
      <c r="Q187">
        <v>7650</v>
      </c>
      <c r="R187">
        <v>3</v>
      </c>
    </row>
    <row r="188" spans="1:18">
      <c r="A188" t="s">
        <v>264</v>
      </c>
      <c r="B188" s="2">
        <v>45942</v>
      </c>
      <c r="C188" t="s">
        <v>82</v>
      </c>
      <c r="D188" t="s">
        <v>83</v>
      </c>
      <c r="E188" t="s">
        <v>42</v>
      </c>
      <c r="F188" t="s">
        <v>22</v>
      </c>
      <c r="G188" t="s">
        <v>23</v>
      </c>
      <c r="H188" t="s">
        <v>24</v>
      </c>
      <c r="I188">
        <v>1</v>
      </c>
      <c r="J188">
        <v>28240</v>
      </c>
      <c r="K188">
        <v>0.1</v>
      </c>
      <c r="L188" t="s">
        <v>64</v>
      </c>
      <c r="M188" t="s">
        <v>71</v>
      </c>
      <c r="N188" t="s">
        <v>27</v>
      </c>
      <c r="O188">
        <v>28240</v>
      </c>
      <c r="P188">
        <v>2824</v>
      </c>
      <c r="Q188">
        <v>25416</v>
      </c>
      <c r="R188">
        <v>5</v>
      </c>
    </row>
    <row r="189" spans="1:18">
      <c r="A189" t="s">
        <v>265</v>
      </c>
      <c r="B189" s="2">
        <v>45942</v>
      </c>
      <c r="C189" t="s">
        <v>19</v>
      </c>
      <c r="D189" t="s">
        <v>103</v>
      </c>
      <c r="E189" t="s">
        <v>21</v>
      </c>
      <c r="F189" t="s">
        <v>22</v>
      </c>
      <c r="G189" t="s">
        <v>62</v>
      </c>
      <c r="H189" t="s">
        <v>33</v>
      </c>
      <c r="I189">
        <v>2</v>
      </c>
      <c r="J189">
        <v>1850</v>
      </c>
      <c r="K189">
        <v>0.05</v>
      </c>
      <c r="L189" t="s">
        <v>25</v>
      </c>
      <c r="M189" t="s">
        <v>44</v>
      </c>
      <c r="N189" t="s">
        <v>27</v>
      </c>
      <c r="O189">
        <v>3700</v>
      </c>
      <c r="P189">
        <v>185</v>
      </c>
      <c r="Q189">
        <v>3515</v>
      </c>
      <c r="R189">
        <v>4</v>
      </c>
    </row>
    <row r="190" spans="1:18">
      <c r="A190" t="s">
        <v>266</v>
      </c>
      <c r="B190" s="2">
        <v>45943</v>
      </c>
      <c r="C190" t="s">
        <v>19</v>
      </c>
      <c r="D190" t="s">
        <v>57</v>
      </c>
      <c r="E190" t="s">
        <v>42</v>
      </c>
      <c r="F190" t="s">
        <v>22</v>
      </c>
      <c r="G190" t="s">
        <v>105</v>
      </c>
      <c r="H190" t="s">
        <v>24</v>
      </c>
      <c r="I190">
        <v>1</v>
      </c>
      <c r="J190">
        <v>3010</v>
      </c>
      <c r="K190">
        <v>0</v>
      </c>
      <c r="L190" t="s">
        <v>54</v>
      </c>
      <c r="M190" t="s">
        <v>50</v>
      </c>
      <c r="N190" t="s">
        <v>27</v>
      </c>
      <c r="O190">
        <v>3010</v>
      </c>
      <c r="P190">
        <v>0</v>
      </c>
      <c r="Q190">
        <v>3010</v>
      </c>
      <c r="R190">
        <v>2</v>
      </c>
    </row>
    <row r="191" spans="1:18">
      <c r="A191" t="s">
        <v>267</v>
      </c>
      <c r="B191" s="2">
        <v>45943</v>
      </c>
      <c r="C191" t="s">
        <v>29</v>
      </c>
      <c r="D191" t="s">
        <v>30</v>
      </c>
      <c r="E191" t="s">
        <v>42</v>
      </c>
      <c r="F191" t="s">
        <v>22</v>
      </c>
      <c r="G191" t="s">
        <v>58</v>
      </c>
      <c r="H191" t="s">
        <v>59</v>
      </c>
      <c r="I191">
        <v>1</v>
      </c>
      <c r="J191">
        <v>7000</v>
      </c>
      <c r="K191">
        <v>0</v>
      </c>
      <c r="L191" t="s">
        <v>25</v>
      </c>
      <c r="M191" t="s">
        <v>38</v>
      </c>
      <c r="N191" t="s">
        <v>27</v>
      </c>
      <c r="O191">
        <v>7000</v>
      </c>
      <c r="P191">
        <v>0</v>
      </c>
      <c r="Q191">
        <v>7000</v>
      </c>
      <c r="R191">
        <v>2</v>
      </c>
    </row>
    <row r="192" spans="1:18">
      <c r="A192" t="s">
        <v>268</v>
      </c>
      <c r="B192" s="2">
        <v>45944</v>
      </c>
      <c r="C192" t="s">
        <v>19</v>
      </c>
      <c r="D192" t="s">
        <v>20</v>
      </c>
      <c r="E192" t="s">
        <v>42</v>
      </c>
      <c r="F192" t="s">
        <v>22</v>
      </c>
      <c r="G192" t="s">
        <v>105</v>
      </c>
      <c r="H192" t="s">
        <v>24</v>
      </c>
      <c r="I192">
        <v>2</v>
      </c>
      <c r="J192">
        <v>3200</v>
      </c>
      <c r="K192">
        <v>0.03</v>
      </c>
      <c r="L192" t="s">
        <v>68</v>
      </c>
      <c r="M192" t="s">
        <v>55</v>
      </c>
      <c r="N192" t="s">
        <v>27</v>
      </c>
      <c r="O192">
        <v>6400</v>
      </c>
      <c r="P192">
        <v>192</v>
      </c>
      <c r="Q192">
        <v>6208</v>
      </c>
      <c r="R192">
        <v>3</v>
      </c>
    </row>
    <row r="193" spans="1:18">
      <c r="A193" t="s">
        <v>269</v>
      </c>
      <c r="B193" s="2">
        <v>45944</v>
      </c>
      <c r="C193" t="s">
        <v>40</v>
      </c>
      <c r="D193" t="s">
        <v>41</v>
      </c>
      <c r="E193" t="s">
        <v>70</v>
      </c>
      <c r="F193" t="s">
        <v>22</v>
      </c>
      <c r="G193" t="s">
        <v>58</v>
      </c>
      <c r="H193" t="s">
        <v>59</v>
      </c>
      <c r="I193">
        <v>2</v>
      </c>
      <c r="J193">
        <v>6740</v>
      </c>
      <c r="K193">
        <v>0.1</v>
      </c>
      <c r="L193" t="s">
        <v>68</v>
      </c>
      <c r="M193" t="s">
        <v>35</v>
      </c>
      <c r="N193" t="s">
        <v>27</v>
      </c>
      <c r="O193">
        <v>13480</v>
      </c>
      <c r="P193">
        <v>1348</v>
      </c>
      <c r="Q193">
        <v>12132</v>
      </c>
      <c r="R193">
        <v>7</v>
      </c>
    </row>
    <row r="194" spans="1:18">
      <c r="A194" t="s">
        <v>270</v>
      </c>
      <c r="B194" s="2">
        <v>45944</v>
      </c>
      <c r="C194" t="s">
        <v>29</v>
      </c>
      <c r="D194" t="s">
        <v>78</v>
      </c>
      <c r="E194" t="s">
        <v>21</v>
      </c>
      <c r="F194" t="s">
        <v>31</v>
      </c>
      <c r="G194" t="s">
        <v>152</v>
      </c>
      <c r="H194" t="s">
        <v>74</v>
      </c>
      <c r="I194">
        <v>1</v>
      </c>
      <c r="J194">
        <v>13960</v>
      </c>
      <c r="K194">
        <v>0.03</v>
      </c>
      <c r="L194" t="s">
        <v>64</v>
      </c>
      <c r="M194" t="s">
        <v>66</v>
      </c>
      <c r="N194" t="s">
        <v>27</v>
      </c>
      <c r="O194">
        <v>13960</v>
      </c>
      <c r="P194">
        <v>418.8</v>
      </c>
      <c r="Q194">
        <v>13541.2</v>
      </c>
      <c r="R194">
        <v>3</v>
      </c>
    </row>
    <row r="195" spans="1:18">
      <c r="A195" t="s">
        <v>271</v>
      </c>
      <c r="B195" s="2">
        <v>45945</v>
      </c>
      <c r="C195" t="s">
        <v>40</v>
      </c>
      <c r="D195" t="s">
        <v>115</v>
      </c>
      <c r="E195" t="s">
        <v>42</v>
      </c>
      <c r="F195" t="s">
        <v>22</v>
      </c>
      <c r="G195" t="s">
        <v>73</v>
      </c>
      <c r="H195" t="s">
        <v>74</v>
      </c>
      <c r="I195">
        <v>1</v>
      </c>
      <c r="J195">
        <v>11340</v>
      </c>
      <c r="K195">
        <v>0</v>
      </c>
      <c r="L195" t="s">
        <v>64</v>
      </c>
      <c r="M195" t="s">
        <v>38</v>
      </c>
      <c r="N195" t="s">
        <v>27</v>
      </c>
      <c r="O195">
        <v>11340</v>
      </c>
      <c r="P195">
        <v>0</v>
      </c>
      <c r="Q195">
        <v>11340</v>
      </c>
      <c r="R195">
        <v>4</v>
      </c>
    </row>
    <row r="196" spans="1:18">
      <c r="A196" t="s">
        <v>272</v>
      </c>
      <c r="B196" s="2">
        <v>45945</v>
      </c>
      <c r="C196" t="s">
        <v>40</v>
      </c>
      <c r="D196" t="s">
        <v>41</v>
      </c>
      <c r="E196" t="s">
        <v>42</v>
      </c>
      <c r="F196" t="s">
        <v>31</v>
      </c>
      <c r="G196" t="s">
        <v>92</v>
      </c>
      <c r="H196" t="s">
        <v>24</v>
      </c>
      <c r="I196">
        <v>4</v>
      </c>
      <c r="J196">
        <v>16570</v>
      </c>
      <c r="K196">
        <v>0</v>
      </c>
      <c r="L196" t="s">
        <v>34</v>
      </c>
      <c r="M196" t="s">
        <v>71</v>
      </c>
      <c r="N196" t="s">
        <v>27</v>
      </c>
      <c r="O196">
        <v>66280</v>
      </c>
      <c r="P196">
        <v>0</v>
      </c>
      <c r="Q196">
        <v>66280</v>
      </c>
      <c r="R196">
        <v>3</v>
      </c>
    </row>
    <row r="197" spans="1:18">
      <c r="A197" t="s">
        <v>273</v>
      </c>
      <c r="B197" s="2">
        <v>45945</v>
      </c>
      <c r="C197" t="s">
        <v>82</v>
      </c>
      <c r="D197" t="s">
        <v>178</v>
      </c>
      <c r="E197" t="s">
        <v>70</v>
      </c>
      <c r="F197" t="s">
        <v>22</v>
      </c>
      <c r="G197" t="s">
        <v>105</v>
      </c>
      <c r="H197" t="s">
        <v>24</v>
      </c>
      <c r="I197">
        <v>4</v>
      </c>
      <c r="J197">
        <v>3350</v>
      </c>
      <c r="K197">
        <v>0.05</v>
      </c>
      <c r="L197" t="s">
        <v>54</v>
      </c>
      <c r="M197" t="s">
        <v>38</v>
      </c>
      <c r="N197" t="s">
        <v>27</v>
      </c>
      <c r="O197">
        <v>13400</v>
      </c>
      <c r="P197">
        <v>670</v>
      </c>
      <c r="Q197">
        <v>12730</v>
      </c>
      <c r="R197">
        <v>3</v>
      </c>
    </row>
    <row r="198" spans="1:18">
      <c r="A198" t="s">
        <v>274</v>
      </c>
      <c r="B198" s="2">
        <v>45946</v>
      </c>
      <c r="C198" t="s">
        <v>29</v>
      </c>
      <c r="D198" t="s">
        <v>78</v>
      </c>
      <c r="E198" t="s">
        <v>21</v>
      </c>
      <c r="F198" t="s">
        <v>31</v>
      </c>
      <c r="G198" t="s">
        <v>62</v>
      </c>
      <c r="H198" t="s">
        <v>33</v>
      </c>
      <c r="I198">
        <v>3</v>
      </c>
      <c r="J198">
        <v>1770</v>
      </c>
      <c r="K198">
        <v>0.03</v>
      </c>
      <c r="L198" t="s">
        <v>68</v>
      </c>
      <c r="M198" t="s">
        <v>26</v>
      </c>
      <c r="N198" t="s">
        <v>27</v>
      </c>
      <c r="O198">
        <v>5310</v>
      </c>
      <c r="P198">
        <v>159.30000000000001</v>
      </c>
      <c r="Q198">
        <v>5150.7</v>
      </c>
      <c r="R198">
        <v>5</v>
      </c>
    </row>
    <row r="199" spans="1:18">
      <c r="A199" t="s">
        <v>275</v>
      </c>
      <c r="B199" s="2">
        <v>45946</v>
      </c>
      <c r="C199" t="s">
        <v>40</v>
      </c>
      <c r="D199" t="s">
        <v>115</v>
      </c>
      <c r="E199" t="s">
        <v>21</v>
      </c>
      <c r="F199" t="s">
        <v>22</v>
      </c>
      <c r="G199" t="s">
        <v>149</v>
      </c>
      <c r="H199" t="s">
        <v>33</v>
      </c>
      <c r="I199">
        <v>2</v>
      </c>
      <c r="J199">
        <v>3520</v>
      </c>
      <c r="K199">
        <v>0.03</v>
      </c>
      <c r="L199" t="s">
        <v>25</v>
      </c>
      <c r="M199" t="s">
        <v>50</v>
      </c>
      <c r="N199" t="s">
        <v>27</v>
      </c>
      <c r="O199">
        <v>7040</v>
      </c>
      <c r="P199">
        <v>211.2</v>
      </c>
      <c r="Q199">
        <v>6828.8</v>
      </c>
      <c r="R199">
        <v>1</v>
      </c>
    </row>
    <row r="200" spans="1:18">
      <c r="A200" t="s">
        <v>276</v>
      </c>
      <c r="B200" s="2">
        <v>45947</v>
      </c>
      <c r="C200" t="s">
        <v>40</v>
      </c>
      <c r="D200" t="s">
        <v>89</v>
      </c>
      <c r="E200" t="s">
        <v>42</v>
      </c>
      <c r="F200" t="s">
        <v>22</v>
      </c>
      <c r="G200" t="s">
        <v>62</v>
      </c>
      <c r="H200" t="s">
        <v>33</v>
      </c>
      <c r="I200">
        <v>1</v>
      </c>
      <c r="J200">
        <v>1870</v>
      </c>
      <c r="K200">
        <v>0</v>
      </c>
      <c r="L200" t="s">
        <v>64</v>
      </c>
      <c r="M200" t="s">
        <v>26</v>
      </c>
      <c r="N200" t="s">
        <v>27</v>
      </c>
      <c r="O200">
        <v>1870</v>
      </c>
      <c r="P200">
        <v>0</v>
      </c>
      <c r="Q200">
        <v>1870</v>
      </c>
      <c r="R200">
        <v>7</v>
      </c>
    </row>
    <row r="201" spans="1:18">
      <c r="A201" t="s">
        <v>277</v>
      </c>
      <c r="B201" s="2">
        <v>45947</v>
      </c>
      <c r="C201" t="s">
        <v>82</v>
      </c>
      <c r="D201" t="s">
        <v>122</v>
      </c>
      <c r="E201" t="s">
        <v>21</v>
      </c>
      <c r="F201" t="s">
        <v>22</v>
      </c>
      <c r="G201" t="s">
        <v>92</v>
      </c>
      <c r="H201" t="s">
        <v>24</v>
      </c>
      <c r="I201">
        <v>2</v>
      </c>
      <c r="J201">
        <v>16140</v>
      </c>
      <c r="K201">
        <v>0</v>
      </c>
      <c r="L201" t="s">
        <v>68</v>
      </c>
      <c r="M201" t="s">
        <v>26</v>
      </c>
      <c r="N201" t="s">
        <v>130</v>
      </c>
      <c r="O201">
        <v>32280</v>
      </c>
      <c r="P201">
        <v>0</v>
      </c>
      <c r="Q201">
        <v>32280</v>
      </c>
      <c r="R201">
        <v>2</v>
      </c>
    </row>
    <row r="202" spans="1:18">
      <c r="A202" t="s">
        <v>278</v>
      </c>
      <c r="B202" s="2">
        <v>45947</v>
      </c>
      <c r="C202" t="s">
        <v>40</v>
      </c>
      <c r="D202" t="s">
        <v>89</v>
      </c>
      <c r="E202" t="s">
        <v>21</v>
      </c>
      <c r="F202" t="s">
        <v>22</v>
      </c>
      <c r="G202" t="s">
        <v>37</v>
      </c>
      <c r="H202" t="s">
        <v>24</v>
      </c>
      <c r="I202">
        <v>2</v>
      </c>
      <c r="J202">
        <v>61220</v>
      </c>
      <c r="K202">
        <v>0.08</v>
      </c>
      <c r="L202" t="s">
        <v>68</v>
      </c>
      <c r="M202" t="s">
        <v>38</v>
      </c>
      <c r="N202" t="s">
        <v>27</v>
      </c>
      <c r="O202">
        <v>122440</v>
      </c>
      <c r="P202">
        <v>9795.2000000000007</v>
      </c>
      <c r="Q202">
        <v>112644.8</v>
      </c>
      <c r="R202">
        <v>3</v>
      </c>
    </row>
    <row r="203" spans="1:18">
      <c r="A203" t="s">
        <v>279</v>
      </c>
      <c r="B203" s="2">
        <v>45947</v>
      </c>
      <c r="C203" t="s">
        <v>19</v>
      </c>
      <c r="D203" t="s">
        <v>52</v>
      </c>
      <c r="E203" t="s">
        <v>70</v>
      </c>
      <c r="F203" t="s">
        <v>22</v>
      </c>
      <c r="G203" t="s">
        <v>73</v>
      </c>
      <c r="H203" t="s">
        <v>74</v>
      </c>
      <c r="I203">
        <v>1</v>
      </c>
      <c r="J203">
        <v>10870</v>
      </c>
      <c r="K203">
        <v>0</v>
      </c>
      <c r="L203" t="s">
        <v>64</v>
      </c>
      <c r="M203" t="s">
        <v>44</v>
      </c>
      <c r="N203" t="s">
        <v>27</v>
      </c>
      <c r="O203">
        <v>10870</v>
      </c>
      <c r="P203">
        <v>0</v>
      </c>
      <c r="Q203">
        <v>10870</v>
      </c>
      <c r="R203">
        <v>5</v>
      </c>
    </row>
    <row r="204" spans="1:18">
      <c r="A204" t="s">
        <v>280</v>
      </c>
      <c r="B204" s="2">
        <v>45948</v>
      </c>
      <c r="C204" t="s">
        <v>40</v>
      </c>
      <c r="D204" t="s">
        <v>41</v>
      </c>
      <c r="E204" t="s">
        <v>42</v>
      </c>
      <c r="F204" t="s">
        <v>22</v>
      </c>
      <c r="G204" t="s">
        <v>62</v>
      </c>
      <c r="H204" t="s">
        <v>33</v>
      </c>
      <c r="I204">
        <v>1</v>
      </c>
      <c r="J204">
        <v>1760</v>
      </c>
      <c r="K204">
        <v>0.1</v>
      </c>
      <c r="L204" t="s">
        <v>25</v>
      </c>
      <c r="M204" t="s">
        <v>44</v>
      </c>
      <c r="N204" t="s">
        <v>27</v>
      </c>
      <c r="O204">
        <v>1760</v>
      </c>
      <c r="P204">
        <v>176</v>
      </c>
      <c r="Q204">
        <v>1584</v>
      </c>
      <c r="R204">
        <v>2</v>
      </c>
    </row>
    <row r="205" spans="1:18">
      <c r="A205" t="s">
        <v>281</v>
      </c>
      <c r="B205" s="2">
        <v>45948</v>
      </c>
      <c r="C205" t="s">
        <v>40</v>
      </c>
      <c r="D205" t="s">
        <v>115</v>
      </c>
      <c r="E205" t="s">
        <v>70</v>
      </c>
      <c r="F205" t="s">
        <v>22</v>
      </c>
      <c r="G205" t="s">
        <v>23</v>
      </c>
      <c r="H205" t="s">
        <v>24</v>
      </c>
      <c r="I205">
        <v>1</v>
      </c>
      <c r="J205">
        <v>27330</v>
      </c>
      <c r="K205">
        <v>0.05</v>
      </c>
      <c r="L205" t="s">
        <v>34</v>
      </c>
      <c r="M205" t="s">
        <v>26</v>
      </c>
      <c r="N205" t="s">
        <v>27</v>
      </c>
      <c r="O205">
        <v>27330</v>
      </c>
      <c r="P205">
        <v>1366.5</v>
      </c>
      <c r="Q205">
        <v>25963.5</v>
      </c>
      <c r="R205">
        <v>3</v>
      </c>
    </row>
    <row r="206" spans="1:18">
      <c r="A206" t="s">
        <v>282</v>
      </c>
      <c r="B206" s="2">
        <v>45948</v>
      </c>
      <c r="C206" t="s">
        <v>40</v>
      </c>
      <c r="D206" t="s">
        <v>115</v>
      </c>
      <c r="E206" t="s">
        <v>21</v>
      </c>
      <c r="F206" t="s">
        <v>22</v>
      </c>
      <c r="G206" t="s">
        <v>101</v>
      </c>
      <c r="H206" t="s">
        <v>33</v>
      </c>
      <c r="I206">
        <v>4</v>
      </c>
      <c r="J206">
        <v>1700</v>
      </c>
      <c r="K206">
        <v>0.03</v>
      </c>
      <c r="L206" t="s">
        <v>54</v>
      </c>
      <c r="M206" t="s">
        <v>71</v>
      </c>
      <c r="N206" t="s">
        <v>27</v>
      </c>
      <c r="O206">
        <v>6800</v>
      </c>
      <c r="P206">
        <v>204</v>
      </c>
      <c r="Q206">
        <v>6596</v>
      </c>
      <c r="R206">
        <v>2</v>
      </c>
    </row>
    <row r="207" spans="1:18">
      <c r="A207" t="s">
        <v>283</v>
      </c>
      <c r="B207" s="2">
        <v>45948</v>
      </c>
      <c r="C207" t="s">
        <v>29</v>
      </c>
      <c r="D207" t="s">
        <v>85</v>
      </c>
      <c r="E207" t="s">
        <v>42</v>
      </c>
      <c r="F207" t="s">
        <v>22</v>
      </c>
      <c r="G207" t="s">
        <v>37</v>
      </c>
      <c r="H207" t="s">
        <v>24</v>
      </c>
      <c r="I207">
        <v>1</v>
      </c>
      <c r="J207">
        <v>60320</v>
      </c>
      <c r="K207">
        <v>0</v>
      </c>
      <c r="L207" t="s">
        <v>64</v>
      </c>
      <c r="M207" t="s">
        <v>71</v>
      </c>
      <c r="N207" t="s">
        <v>27</v>
      </c>
      <c r="O207">
        <v>60320</v>
      </c>
      <c r="P207">
        <v>0</v>
      </c>
      <c r="Q207">
        <v>60320</v>
      </c>
      <c r="R207">
        <v>3</v>
      </c>
    </row>
    <row r="208" spans="1:18">
      <c r="A208" t="s">
        <v>284</v>
      </c>
      <c r="B208" s="2">
        <v>45949</v>
      </c>
      <c r="C208" t="s">
        <v>40</v>
      </c>
      <c r="D208" t="s">
        <v>47</v>
      </c>
      <c r="E208" t="s">
        <v>70</v>
      </c>
      <c r="F208" t="s">
        <v>31</v>
      </c>
      <c r="G208" t="s">
        <v>23</v>
      </c>
      <c r="H208" t="s">
        <v>24</v>
      </c>
      <c r="I208">
        <v>4</v>
      </c>
      <c r="J208">
        <v>28600</v>
      </c>
      <c r="K208">
        <v>0</v>
      </c>
      <c r="L208" t="s">
        <v>64</v>
      </c>
      <c r="M208" t="s">
        <v>26</v>
      </c>
      <c r="N208" t="s">
        <v>27</v>
      </c>
      <c r="O208">
        <v>114400</v>
      </c>
      <c r="P208">
        <v>0</v>
      </c>
      <c r="Q208">
        <v>114400</v>
      </c>
      <c r="R208">
        <v>2</v>
      </c>
    </row>
    <row r="209" spans="1:18">
      <c r="A209" t="s">
        <v>285</v>
      </c>
      <c r="B209" s="2">
        <v>45949</v>
      </c>
      <c r="C209" t="s">
        <v>82</v>
      </c>
      <c r="D209" t="s">
        <v>178</v>
      </c>
      <c r="E209" t="s">
        <v>42</v>
      </c>
      <c r="F209" t="s">
        <v>22</v>
      </c>
      <c r="G209" t="s">
        <v>92</v>
      </c>
      <c r="H209" t="s">
        <v>24</v>
      </c>
      <c r="I209">
        <v>4</v>
      </c>
      <c r="J209">
        <v>16950</v>
      </c>
      <c r="K209">
        <v>0.1</v>
      </c>
      <c r="L209" t="s">
        <v>64</v>
      </c>
      <c r="M209" t="s">
        <v>38</v>
      </c>
      <c r="N209" t="s">
        <v>27</v>
      </c>
      <c r="O209">
        <v>67800</v>
      </c>
      <c r="P209">
        <v>6780</v>
      </c>
      <c r="Q209">
        <v>61020</v>
      </c>
      <c r="R209">
        <v>3</v>
      </c>
    </row>
    <row r="210" spans="1:18">
      <c r="A210" t="s">
        <v>286</v>
      </c>
      <c r="B210" s="2">
        <v>45950</v>
      </c>
      <c r="C210" t="s">
        <v>19</v>
      </c>
      <c r="D210" t="s">
        <v>103</v>
      </c>
      <c r="E210" t="s">
        <v>42</v>
      </c>
      <c r="F210" t="s">
        <v>22</v>
      </c>
      <c r="G210" t="s">
        <v>58</v>
      </c>
      <c r="H210" t="s">
        <v>59</v>
      </c>
      <c r="I210">
        <v>1</v>
      </c>
      <c r="J210">
        <v>7650</v>
      </c>
      <c r="K210">
        <v>0.03</v>
      </c>
      <c r="L210" t="s">
        <v>34</v>
      </c>
      <c r="M210" t="s">
        <v>44</v>
      </c>
      <c r="N210" t="s">
        <v>27</v>
      </c>
      <c r="O210">
        <v>7650</v>
      </c>
      <c r="P210">
        <v>229.5</v>
      </c>
      <c r="Q210">
        <v>7420.5</v>
      </c>
      <c r="R210">
        <v>1</v>
      </c>
    </row>
    <row r="211" spans="1:18">
      <c r="A211" t="s">
        <v>287</v>
      </c>
      <c r="B211" s="2">
        <v>45950</v>
      </c>
      <c r="C211" t="s">
        <v>19</v>
      </c>
      <c r="D211" t="s">
        <v>57</v>
      </c>
      <c r="E211" t="s">
        <v>42</v>
      </c>
      <c r="F211" t="s">
        <v>31</v>
      </c>
      <c r="G211" t="s">
        <v>37</v>
      </c>
      <c r="H211" t="s">
        <v>24</v>
      </c>
      <c r="I211">
        <v>1</v>
      </c>
      <c r="J211">
        <v>61130</v>
      </c>
      <c r="K211">
        <v>0.05</v>
      </c>
      <c r="L211" t="s">
        <v>64</v>
      </c>
      <c r="M211" t="s">
        <v>44</v>
      </c>
      <c r="N211" t="s">
        <v>27</v>
      </c>
      <c r="O211">
        <v>61130</v>
      </c>
      <c r="P211">
        <v>3056.5</v>
      </c>
      <c r="Q211">
        <v>58073.5</v>
      </c>
      <c r="R211">
        <v>3</v>
      </c>
    </row>
    <row r="212" spans="1:18">
      <c r="A212" t="s">
        <v>288</v>
      </c>
      <c r="B212" s="2">
        <v>45950</v>
      </c>
      <c r="C212" t="s">
        <v>82</v>
      </c>
      <c r="D212" t="s">
        <v>122</v>
      </c>
      <c r="E212" t="s">
        <v>21</v>
      </c>
      <c r="F212" t="s">
        <v>53</v>
      </c>
      <c r="G212" t="s">
        <v>58</v>
      </c>
      <c r="H212" t="s">
        <v>59</v>
      </c>
      <c r="I212">
        <v>4</v>
      </c>
      <c r="J212">
        <v>7530</v>
      </c>
      <c r="K212">
        <v>0.03</v>
      </c>
      <c r="L212" t="s">
        <v>54</v>
      </c>
      <c r="M212" t="s">
        <v>55</v>
      </c>
      <c r="N212" t="s">
        <v>27</v>
      </c>
      <c r="O212">
        <v>30120</v>
      </c>
      <c r="P212">
        <v>903.6</v>
      </c>
      <c r="Q212">
        <v>29216.400000000001</v>
      </c>
      <c r="R212">
        <v>4</v>
      </c>
    </row>
    <row r="213" spans="1:18">
      <c r="A213" t="s">
        <v>289</v>
      </c>
      <c r="B213" s="2">
        <v>45950</v>
      </c>
      <c r="C213" t="s">
        <v>40</v>
      </c>
      <c r="D213" t="s">
        <v>47</v>
      </c>
      <c r="E213" t="s">
        <v>70</v>
      </c>
      <c r="F213" t="s">
        <v>22</v>
      </c>
      <c r="G213" t="s">
        <v>32</v>
      </c>
      <c r="H213" t="s">
        <v>33</v>
      </c>
      <c r="I213">
        <v>3</v>
      </c>
      <c r="J213">
        <v>2490</v>
      </c>
      <c r="K213">
        <v>0.03</v>
      </c>
      <c r="L213" t="s">
        <v>68</v>
      </c>
      <c r="M213" t="s">
        <v>50</v>
      </c>
      <c r="N213" t="s">
        <v>27</v>
      </c>
      <c r="O213">
        <v>7470</v>
      </c>
      <c r="P213">
        <v>224.1</v>
      </c>
      <c r="Q213">
        <v>7245.9</v>
      </c>
      <c r="R213">
        <v>4</v>
      </c>
    </row>
    <row r="214" spans="1:18">
      <c r="A214" t="s">
        <v>290</v>
      </c>
      <c r="B214" s="2">
        <v>45952</v>
      </c>
      <c r="C214" t="s">
        <v>29</v>
      </c>
      <c r="D214" t="s">
        <v>30</v>
      </c>
      <c r="E214" t="s">
        <v>70</v>
      </c>
      <c r="F214" t="s">
        <v>22</v>
      </c>
      <c r="G214" t="s">
        <v>73</v>
      </c>
      <c r="H214" t="s">
        <v>74</v>
      </c>
      <c r="I214">
        <v>3</v>
      </c>
      <c r="J214">
        <v>11430</v>
      </c>
      <c r="K214">
        <v>0.05</v>
      </c>
      <c r="L214" t="s">
        <v>68</v>
      </c>
      <c r="M214" t="s">
        <v>35</v>
      </c>
      <c r="N214" t="s">
        <v>27</v>
      </c>
      <c r="O214">
        <v>34290</v>
      </c>
      <c r="P214">
        <v>1714.5</v>
      </c>
      <c r="Q214">
        <v>32575.5</v>
      </c>
      <c r="R214">
        <v>3</v>
      </c>
    </row>
    <row r="215" spans="1:18">
      <c r="A215" t="s">
        <v>291</v>
      </c>
      <c r="B215" s="2">
        <v>45952</v>
      </c>
      <c r="C215" t="s">
        <v>29</v>
      </c>
      <c r="D215" t="s">
        <v>78</v>
      </c>
      <c r="E215" t="s">
        <v>42</v>
      </c>
      <c r="F215" t="s">
        <v>22</v>
      </c>
      <c r="G215" t="s">
        <v>43</v>
      </c>
      <c r="H215" t="s">
        <v>33</v>
      </c>
      <c r="I215">
        <v>1</v>
      </c>
      <c r="J215">
        <v>1000</v>
      </c>
      <c r="K215">
        <v>0.05</v>
      </c>
      <c r="L215" t="s">
        <v>25</v>
      </c>
      <c r="M215" t="s">
        <v>50</v>
      </c>
      <c r="N215" t="s">
        <v>27</v>
      </c>
      <c r="O215">
        <v>1000</v>
      </c>
      <c r="P215">
        <v>50</v>
      </c>
      <c r="Q215">
        <v>950</v>
      </c>
      <c r="R215">
        <v>2</v>
      </c>
    </row>
    <row r="216" spans="1:18">
      <c r="A216" t="s">
        <v>292</v>
      </c>
      <c r="B216" s="2">
        <v>45952</v>
      </c>
      <c r="C216" t="s">
        <v>19</v>
      </c>
      <c r="E216" t="s">
        <v>42</v>
      </c>
      <c r="F216" t="s">
        <v>53</v>
      </c>
      <c r="G216" t="s">
        <v>37</v>
      </c>
      <c r="H216" t="s">
        <v>24</v>
      </c>
      <c r="I216">
        <v>1</v>
      </c>
      <c r="J216">
        <v>59680</v>
      </c>
      <c r="K216">
        <v>0.1</v>
      </c>
      <c r="L216" t="s">
        <v>68</v>
      </c>
      <c r="M216" t="s">
        <v>35</v>
      </c>
      <c r="N216" t="s">
        <v>27</v>
      </c>
      <c r="O216">
        <v>59680</v>
      </c>
      <c r="P216">
        <v>5968</v>
      </c>
      <c r="Q216">
        <v>53712</v>
      </c>
      <c r="R216">
        <v>4</v>
      </c>
    </row>
    <row r="217" spans="1:18">
      <c r="A217" t="s">
        <v>293</v>
      </c>
      <c r="B217" s="2">
        <v>45952</v>
      </c>
      <c r="C217" t="s">
        <v>29</v>
      </c>
      <c r="D217" t="s">
        <v>78</v>
      </c>
      <c r="E217" t="s">
        <v>21</v>
      </c>
      <c r="F217" t="s">
        <v>22</v>
      </c>
      <c r="G217" t="s">
        <v>23</v>
      </c>
      <c r="H217" t="s">
        <v>24</v>
      </c>
      <c r="I217">
        <v>3</v>
      </c>
      <c r="J217">
        <v>27440</v>
      </c>
      <c r="K217">
        <v>0.03</v>
      </c>
      <c r="L217" t="s">
        <v>64</v>
      </c>
      <c r="M217" t="s">
        <v>26</v>
      </c>
      <c r="N217" t="s">
        <v>27</v>
      </c>
      <c r="O217">
        <v>82320</v>
      </c>
      <c r="P217">
        <v>2469.6</v>
      </c>
      <c r="Q217">
        <v>79850.399999999994</v>
      </c>
      <c r="R217">
        <v>4</v>
      </c>
    </row>
    <row r="218" spans="1:18">
      <c r="A218" t="s">
        <v>294</v>
      </c>
      <c r="B218" s="2">
        <v>45953</v>
      </c>
      <c r="C218" t="s">
        <v>29</v>
      </c>
      <c r="D218" t="s">
        <v>30</v>
      </c>
      <c r="E218" t="s">
        <v>21</v>
      </c>
      <c r="F218" t="s">
        <v>22</v>
      </c>
      <c r="G218" t="s">
        <v>73</v>
      </c>
      <c r="H218" t="s">
        <v>74</v>
      </c>
      <c r="I218">
        <v>1</v>
      </c>
      <c r="J218">
        <v>11550</v>
      </c>
      <c r="K218">
        <v>0.05</v>
      </c>
      <c r="L218" t="s">
        <v>54</v>
      </c>
      <c r="M218" t="s">
        <v>44</v>
      </c>
      <c r="N218" t="s">
        <v>27</v>
      </c>
      <c r="O218">
        <v>11550</v>
      </c>
      <c r="P218">
        <v>577.5</v>
      </c>
      <c r="Q218">
        <v>10972.5</v>
      </c>
      <c r="R218">
        <v>3</v>
      </c>
    </row>
    <row r="219" spans="1:18">
      <c r="A219" t="s">
        <v>295</v>
      </c>
      <c r="B219" s="2">
        <v>45953</v>
      </c>
      <c r="C219" t="s">
        <v>29</v>
      </c>
      <c r="D219" t="s">
        <v>30</v>
      </c>
      <c r="E219" t="s">
        <v>42</v>
      </c>
      <c r="F219" t="s">
        <v>22</v>
      </c>
      <c r="G219" t="s">
        <v>23</v>
      </c>
      <c r="H219" t="s">
        <v>24</v>
      </c>
      <c r="I219">
        <v>4</v>
      </c>
      <c r="J219">
        <v>27220</v>
      </c>
      <c r="K219">
        <v>0.05</v>
      </c>
      <c r="L219" t="s">
        <v>64</v>
      </c>
      <c r="M219" t="s">
        <v>66</v>
      </c>
      <c r="N219" t="s">
        <v>27</v>
      </c>
      <c r="O219">
        <v>108880</v>
      </c>
      <c r="P219">
        <v>5444</v>
      </c>
      <c r="Q219">
        <v>103436</v>
      </c>
      <c r="R219">
        <v>5</v>
      </c>
    </row>
    <row r="220" spans="1:18">
      <c r="A220" t="s">
        <v>296</v>
      </c>
      <c r="B220" s="2">
        <v>45956</v>
      </c>
      <c r="C220" t="s">
        <v>40</v>
      </c>
      <c r="D220" t="s">
        <v>47</v>
      </c>
      <c r="E220" t="s">
        <v>21</v>
      </c>
      <c r="F220" t="s">
        <v>22</v>
      </c>
      <c r="G220" t="s">
        <v>48</v>
      </c>
      <c r="H220" t="s">
        <v>49</v>
      </c>
      <c r="I220">
        <v>1</v>
      </c>
      <c r="J220">
        <v>13350</v>
      </c>
      <c r="K220">
        <v>0.05</v>
      </c>
      <c r="L220" t="s">
        <v>64</v>
      </c>
      <c r="M220" t="s">
        <v>35</v>
      </c>
      <c r="N220" t="s">
        <v>27</v>
      </c>
      <c r="O220">
        <v>13350</v>
      </c>
      <c r="P220">
        <v>667.5</v>
      </c>
      <c r="Q220">
        <v>12682.5</v>
      </c>
      <c r="R220">
        <v>6</v>
      </c>
    </row>
    <row r="221" spans="1:18">
      <c r="A221" t="s">
        <v>297</v>
      </c>
      <c r="B221" s="2">
        <v>45956</v>
      </c>
      <c r="C221" t="s">
        <v>40</v>
      </c>
      <c r="D221" t="s">
        <v>115</v>
      </c>
      <c r="E221" t="s">
        <v>42</v>
      </c>
      <c r="F221" t="s">
        <v>22</v>
      </c>
      <c r="G221" t="s">
        <v>105</v>
      </c>
      <c r="H221" t="s">
        <v>24</v>
      </c>
      <c r="I221">
        <v>4</v>
      </c>
      <c r="J221">
        <v>3170</v>
      </c>
      <c r="K221">
        <v>0</v>
      </c>
      <c r="L221" t="s">
        <v>64</v>
      </c>
      <c r="M221" t="s">
        <v>71</v>
      </c>
      <c r="N221" t="s">
        <v>27</v>
      </c>
      <c r="O221">
        <v>12680</v>
      </c>
      <c r="P221">
        <v>0</v>
      </c>
      <c r="Q221">
        <v>12680</v>
      </c>
      <c r="R221">
        <v>4</v>
      </c>
    </row>
    <row r="222" spans="1:18">
      <c r="A222" t="s">
        <v>298</v>
      </c>
      <c r="B222" s="2">
        <v>45956</v>
      </c>
      <c r="C222" t="s">
        <v>40</v>
      </c>
      <c r="D222" t="s">
        <v>89</v>
      </c>
      <c r="E222" t="s">
        <v>42</v>
      </c>
      <c r="F222" t="s">
        <v>22</v>
      </c>
      <c r="G222" t="s">
        <v>32</v>
      </c>
      <c r="H222" t="s">
        <v>33</v>
      </c>
      <c r="I222">
        <v>2</v>
      </c>
      <c r="J222">
        <v>2290</v>
      </c>
      <c r="K222">
        <v>0.03</v>
      </c>
      <c r="L222" t="s">
        <v>64</v>
      </c>
      <c r="M222" t="s">
        <v>35</v>
      </c>
      <c r="N222" t="s">
        <v>27</v>
      </c>
      <c r="O222">
        <v>4580</v>
      </c>
      <c r="P222">
        <v>137.4</v>
      </c>
      <c r="Q222">
        <v>4442.6000000000004</v>
      </c>
      <c r="R222">
        <v>2</v>
      </c>
    </row>
    <row r="223" spans="1:18">
      <c r="A223" t="s">
        <v>299</v>
      </c>
      <c r="B223" s="2">
        <v>45957</v>
      </c>
      <c r="C223" t="s">
        <v>40</v>
      </c>
      <c r="D223" t="s">
        <v>41</v>
      </c>
      <c r="E223" t="s">
        <v>70</v>
      </c>
      <c r="F223" t="s">
        <v>22</v>
      </c>
      <c r="G223" t="s">
        <v>105</v>
      </c>
      <c r="H223" t="s">
        <v>24</v>
      </c>
      <c r="I223">
        <v>2</v>
      </c>
      <c r="J223">
        <v>3120</v>
      </c>
      <c r="K223">
        <v>0.03</v>
      </c>
      <c r="L223" t="s">
        <v>68</v>
      </c>
      <c r="M223" t="s">
        <v>55</v>
      </c>
      <c r="N223" t="s">
        <v>27</v>
      </c>
      <c r="O223">
        <v>6240</v>
      </c>
      <c r="P223">
        <v>187.2</v>
      </c>
      <c r="Q223">
        <v>6052.8</v>
      </c>
      <c r="R223">
        <v>7</v>
      </c>
    </row>
    <row r="224" spans="1:18">
      <c r="A224" t="s">
        <v>300</v>
      </c>
      <c r="B224" s="2">
        <v>45958</v>
      </c>
      <c r="C224" t="s">
        <v>40</v>
      </c>
      <c r="D224" t="s">
        <v>47</v>
      </c>
      <c r="E224" t="s">
        <v>42</v>
      </c>
      <c r="F224" t="s">
        <v>53</v>
      </c>
      <c r="G224" t="s">
        <v>92</v>
      </c>
      <c r="H224" t="s">
        <v>24</v>
      </c>
      <c r="I224">
        <v>1</v>
      </c>
      <c r="J224">
        <v>15940</v>
      </c>
      <c r="K224">
        <v>0.15</v>
      </c>
      <c r="L224" t="s">
        <v>64</v>
      </c>
      <c r="M224" t="s">
        <v>55</v>
      </c>
      <c r="N224" t="s">
        <v>27</v>
      </c>
      <c r="O224">
        <v>15940</v>
      </c>
      <c r="P224">
        <v>2391</v>
      </c>
      <c r="Q224">
        <v>13549</v>
      </c>
      <c r="R224">
        <v>3</v>
      </c>
    </row>
    <row r="225" spans="1:18">
      <c r="A225" t="s">
        <v>301</v>
      </c>
      <c r="B225" s="2">
        <v>45959</v>
      </c>
      <c r="C225" t="s">
        <v>82</v>
      </c>
      <c r="D225" t="s">
        <v>83</v>
      </c>
      <c r="E225" t="s">
        <v>70</v>
      </c>
      <c r="F225" t="s">
        <v>22</v>
      </c>
      <c r="G225" t="s">
        <v>62</v>
      </c>
      <c r="H225" t="s">
        <v>33</v>
      </c>
      <c r="I225">
        <v>5</v>
      </c>
      <c r="J225">
        <v>1890</v>
      </c>
      <c r="K225">
        <v>0.03</v>
      </c>
      <c r="L225" t="s">
        <v>64</v>
      </c>
      <c r="M225" t="s">
        <v>38</v>
      </c>
      <c r="N225" t="s">
        <v>27</v>
      </c>
      <c r="O225">
        <v>9450</v>
      </c>
      <c r="P225">
        <v>283.5</v>
      </c>
      <c r="Q225">
        <v>9166.5</v>
      </c>
      <c r="R225">
        <v>3</v>
      </c>
    </row>
    <row r="226" spans="1:18">
      <c r="A226" t="s">
        <v>302</v>
      </c>
      <c r="B226" s="2">
        <v>45959</v>
      </c>
      <c r="C226" t="s">
        <v>19</v>
      </c>
      <c r="D226" t="s">
        <v>52</v>
      </c>
      <c r="E226" t="s">
        <v>42</v>
      </c>
      <c r="F226" t="s">
        <v>22</v>
      </c>
      <c r="G226" t="s">
        <v>58</v>
      </c>
      <c r="H226" t="s">
        <v>59</v>
      </c>
      <c r="I226">
        <v>1</v>
      </c>
      <c r="J226">
        <v>7690</v>
      </c>
      <c r="K226">
        <v>0.08</v>
      </c>
      <c r="L226" t="s">
        <v>68</v>
      </c>
      <c r="M226" t="s">
        <v>50</v>
      </c>
      <c r="N226" t="s">
        <v>27</v>
      </c>
      <c r="O226">
        <v>7690</v>
      </c>
      <c r="P226">
        <v>615.20000000000005</v>
      </c>
      <c r="Q226">
        <v>7074.8</v>
      </c>
      <c r="R226">
        <v>4</v>
      </c>
    </row>
    <row r="227" spans="1:18">
      <c r="A227" t="s">
        <v>303</v>
      </c>
      <c r="B227" s="2">
        <v>45960</v>
      </c>
      <c r="C227" t="s">
        <v>19</v>
      </c>
      <c r="D227" t="s">
        <v>20</v>
      </c>
      <c r="E227" t="s">
        <v>42</v>
      </c>
      <c r="F227" t="s">
        <v>31</v>
      </c>
      <c r="G227" t="s">
        <v>43</v>
      </c>
      <c r="H227" t="s">
        <v>33</v>
      </c>
      <c r="I227">
        <v>1</v>
      </c>
      <c r="J227">
        <v>940</v>
      </c>
      <c r="K227">
        <v>0</v>
      </c>
      <c r="L227" t="s">
        <v>64</v>
      </c>
      <c r="M227" t="s">
        <v>50</v>
      </c>
      <c r="N227" t="s">
        <v>27</v>
      </c>
      <c r="O227">
        <v>940</v>
      </c>
      <c r="P227">
        <v>0</v>
      </c>
      <c r="Q227">
        <v>940</v>
      </c>
      <c r="R227">
        <v>2</v>
      </c>
    </row>
    <row r="228" spans="1:18">
      <c r="A228" t="s">
        <v>304</v>
      </c>
      <c r="B228" s="2">
        <v>45960</v>
      </c>
      <c r="C228" t="s">
        <v>40</v>
      </c>
      <c r="D228" t="s">
        <v>47</v>
      </c>
      <c r="E228" t="s">
        <v>70</v>
      </c>
      <c r="F228" t="s">
        <v>31</v>
      </c>
      <c r="G228" t="s">
        <v>73</v>
      </c>
      <c r="H228" t="s">
        <v>74</v>
      </c>
      <c r="I228">
        <v>2</v>
      </c>
      <c r="J228">
        <v>12030</v>
      </c>
      <c r="K228">
        <v>0.05</v>
      </c>
      <c r="L228" t="s">
        <v>54</v>
      </c>
      <c r="M228" t="s">
        <v>55</v>
      </c>
      <c r="N228" t="s">
        <v>27</v>
      </c>
      <c r="O228">
        <v>24060</v>
      </c>
      <c r="P228">
        <v>1203</v>
      </c>
      <c r="Q228">
        <v>22857</v>
      </c>
      <c r="R228">
        <v>4</v>
      </c>
    </row>
    <row r="229" spans="1:18">
      <c r="A229" t="s">
        <v>305</v>
      </c>
      <c r="B229" s="2">
        <v>45961</v>
      </c>
      <c r="C229" t="s">
        <v>19</v>
      </c>
      <c r="D229" t="s">
        <v>57</v>
      </c>
      <c r="E229" t="s">
        <v>21</v>
      </c>
      <c r="F229" t="s">
        <v>22</v>
      </c>
      <c r="G229" t="s">
        <v>73</v>
      </c>
      <c r="H229" t="s">
        <v>74</v>
      </c>
      <c r="I229">
        <v>4</v>
      </c>
      <c r="J229">
        <v>12200</v>
      </c>
      <c r="K229">
        <v>0.03</v>
      </c>
      <c r="L229" t="s">
        <v>64</v>
      </c>
      <c r="M229" t="s">
        <v>66</v>
      </c>
      <c r="N229" t="s">
        <v>27</v>
      </c>
      <c r="O229">
        <v>48800</v>
      </c>
      <c r="P229">
        <v>1464</v>
      </c>
      <c r="Q229">
        <v>47336</v>
      </c>
      <c r="R229">
        <v>3</v>
      </c>
    </row>
    <row r="230" spans="1:18">
      <c r="A230" t="s">
        <v>306</v>
      </c>
      <c r="B230" s="2">
        <v>45961</v>
      </c>
      <c r="C230" t="s">
        <v>40</v>
      </c>
      <c r="D230" t="s">
        <v>115</v>
      </c>
      <c r="E230" t="s">
        <v>21</v>
      </c>
      <c r="F230" t="s">
        <v>31</v>
      </c>
      <c r="G230" t="s">
        <v>105</v>
      </c>
      <c r="H230" t="s">
        <v>24</v>
      </c>
      <c r="I230">
        <v>3</v>
      </c>
      <c r="J230">
        <v>3250</v>
      </c>
      <c r="K230">
        <v>0.03</v>
      </c>
      <c r="L230" t="s">
        <v>64</v>
      </c>
      <c r="M230" t="s">
        <v>66</v>
      </c>
      <c r="N230" t="s">
        <v>27</v>
      </c>
      <c r="O230">
        <v>9750</v>
      </c>
      <c r="P230">
        <v>292.5</v>
      </c>
      <c r="Q230">
        <v>9457.5</v>
      </c>
      <c r="R230">
        <v>6</v>
      </c>
    </row>
    <row r="231" spans="1:18">
      <c r="A231" t="s">
        <v>307</v>
      </c>
      <c r="B231" s="2">
        <v>45961</v>
      </c>
      <c r="C231" t="s">
        <v>40</v>
      </c>
      <c r="D231" t="s">
        <v>89</v>
      </c>
      <c r="E231" t="s">
        <v>21</v>
      </c>
      <c r="F231" t="s">
        <v>22</v>
      </c>
      <c r="G231" t="s">
        <v>23</v>
      </c>
      <c r="H231" t="s">
        <v>24</v>
      </c>
      <c r="I231">
        <v>3</v>
      </c>
      <c r="J231">
        <v>28930</v>
      </c>
      <c r="K231">
        <v>0</v>
      </c>
      <c r="L231" t="s">
        <v>54</v>
      </c>
      <c r="M231" t="s">
        <v>38</v>
      </c>
      <c r="N231" t="s">
        <v>27</v>
      </c>
      <c r="O231">
        <v>86790</v>
      </c>
      <c r="P231">
        <v>0</v>
      </c>
      <c r="Q231">
        <v>86790</v>
      </c>
      <c r="R231">
        <v>2</v>
      </c>
    </row>
    <row r="232" spans="1:18">
      <c r="A232" t="s">
        <v>308</v>
      </c>
      <c r="B232" s="2">
        <v>45962</v>
      </c>
      <c r="C232" t="s">
        <v>40</v>
      </c>
      <c r="D232" t="s">
        <v>41</v>
      </c>
      <c r="E232" t="s">
        <v>70</v>
      </c>
      <c r="F232" t="s">
        <v>22</v>
      </c>
      <c r="G232" t="s">
        <v>105</v>
      </c>
      <c r="H232" t="s">
        <v>24</v>
      </c>
      <c r="I232">
        <v>2</v>
      </c>
      <c r="J232">
        <v>3280</v>
      </c>
      <c r="K232">
        <v>0.05</v>
      </c>
      <c r="L232" t="s">
        <v>64</v>
      </c>
      <c r="M232" t="s">
        <v>26</v>
      </c>
      <c r="N232" t="s">
        <v>27</v>
      </c>
      <c r="O232">
        <v>6560</v>
      </c>
      <c r="P232">
        <v>328</v>
      </c>
      <c r="Q232">
        <v>6232</v>
      </c>
      <c r="R232">
        <v>2</v>
      </c>
    </row>
    <row r="233" spans="1:18">
      <c r="A233" t="s">
        <v>309</v>
      </c>
      <c r="B233" s="2">
        <v>45963</v>
      </c>
      <c r="C233" t="s">
        <v>29</v>
      </c>
      <c r="D233" t="s">
        <v>85</v>
      </c>
      <c r="E233" t="s">
        <v>21</v>
      </c>
      <c r="F233" t="s">
        <v>22</v>
      </c>
      <c r="G233" t="s">
        <v>73</v>
      </c>
      <c r="H233" t="s">
        <v>74</v>
      </c>
      <c r="I233">
        <v>2</v>
      </c>
      <c r="J233">
        <v>10940</v>
      </c>
      <c r="K233">
        <v>0.15</v>
      </c>
      <c r="L233" t="s">
        <v>54</v>
      </c>
      <c r="M233" t="s">
        <v>55</v>
      </c>
      <c r="N233" t="s">
        <v>27</v>
      </c>
      <c r="O233">
        <v>21880</v>
      </c>
      <c r="P233">
        <v>3282</v>
      </c>
      <c r="Q233">
        <v>18598</v>
      </c>
      <c r="R233">
        <v>4</v>
      </c>
    </row>
    <row r="234" spans="1:18">
      <c r="A234" t="s">
        <v>310</v>
      </c>
      <c r="B234" s="2">
        <v>45963</v>
      </c>
      <c r="C234" t="s">
        <v>40</v>
      </c>
      <c r="D234" t="s">
        <v>41</v>
      </c>
      <c r="E234" t="s">
        <v>70</v>
      </c>
      <c r="F234" t="s">
        <v>31</v>
      </c>
      <c r="G234" t="s">
        <v>62</v>
      </c>
      <c r="H234" t="s">
        <v>33</v>
      </c>
      <c r="I234">
        <v>2</v>
      </c>
      <c r="J234">
        <v>1820</v>
      </c>
      <c r="K234">
        <v>0.05</v>
      </c>
      <c r="L234" t="s">
        <v>25</v>
      </c>
      <c r="M234" t="s">
        <v>44</v>
      </c>
      <c r="N234" t="s">
        <v>27</v>
      </c>
      <c r="O234">
        <v>3640</v>
      </c>
      <c r="P234">
        <v>182</v>
      </c>
      <c r="Q234">
        <v>3458</v>
      </c>
      <c r="R234">
        <v>5</v>
      </c>
    </row>
    <row r="235" spans="1:18">
      <c r="A235" t="s">
        <v>311</v>
      </c>
      <c r="B235" s="2">
        <v>45964</v>
      </c>
      <c r="C235" t="s">
        <v>40</v>
      </c>
      <c r="D235" t="s">
        <v>47</v>
      </c>
      <c r="E235" t="s">
        <v>42</v>
      </c>
      <c r="F235" t="s">
        <v>31</v>
      </c>
      <c r="G235" t="s">
        <v>92</v>
      </c>
      <c r="H235" t="s">
        <v>24</v>
      </c>
      <c r="I235">
        <v>3</v>
      </c>
      <c r="J235">
        <v>16550</v>
      </c>
      <c r="K235">
        <v>0.05</v>
      </c>
      <c r="L235" t="s">
        <v>64</v>
      </c>
      <c r="M235" t="s">
        <v>66</v>
      </c>
      <c r="N235" t="s">
        <v>27</v>
      </c>
      <c r="O235">
        <v>49650</v>
      </c>
      <c r="P235">
        <v>2482.5</v>
      </c>
      <c r="Q235">
        <v>47167.5</v>
      </c>
      <c r="R235">
        <v>6</v>
      </c>
    </row>
    <row r="236" spans="1:18">
      <c r="A236" t="s">
        <v>312</v>
      </c>
      <c r="B236" s="2">
        <v>45965</v>
      </c>
      <c r="C236" t="s">
        <v>19</v>
      </c>
      <c r="D236" t="s">
        <v>57</v>
      </c>
      <c r="E236" t="s">
        <v>70</v>
      </c>
      <c r="F236" t="s">
        <v>22</v>
      </c>
      <c r="G236" t="s">
        <v>43</v>
      </c>
      <c r="H236" t="s">
        <v>33</v>
      </c>
      <c r="I236">
        <v>1</v>
      </c>
      <c r="J236">
        <v>1000</v>
      </c>
      <c r="K236">
        <v>0.05</v>
      </c>
      <c r="L236" t="s">
        <v>54</v>
      </c>
      <c r="M236" t="s">
        <v>38</v>
      </c>
      <c r="N236" t="s">
        <v>27</v>
      </c>
      <c r="O236">
        <v>1000</v>
      </c>
      <c r="P236">
        <v>50</v>
      </c>
      <c r="Q236">
        <v>950</v>
      </c>
      <c r="R236">
        <v>3</v>
      </c>
    </row>
    <row r="237" spans="1:18">
      <c r="A237" t="s">
        <v>313</v>
      </c>
      <c r="B237" s="2">
        <v>45966</v>
      </c>
      <c r="C237" t="s">
        <v>19</v>
      </c>
      <c r="D237" t="s">
        <v>20</v>
      </c>
      <c r="E237" t="s">
        <v>42</v>
      </c>
      <c r="F237" t="s">
        <v>22</v>
      </c>
      <c r="G237" t="s">
        <v>23</v>
      </c>
      <c r="H237" t="s">
        <v>24</v>
      </c>
      <c r="I237">
        <v>5</v>
      </c>
      <c r="J237">
        <v>26930</v>
      </c>
      <c r="K237">
        <v>0.08</v>
      </c>
      <c r="L237" t="s">
        <v>64</v>
      </c>
      <c r="M237" t="s">
        <v>35</v>
      </c>
      <c r="N237" t="s">
        <v>27</v>
      </c>
      <c r="O237">
        <v>134650</v>
      </c>
      <c r="P237">
        <v>10772</v>
      </c>
      <c r="Q237">
        <v>123878</v>
      </c>
      <c r="R237">
        <v>5</v>
      </c>
    </row>
    <row r="238" spans="1:18">
      <c r="A238" t="s">
        <v>314</v>
      </c>
      <c r="B238" s="2">
        <v>45966</v>
      </c>
      <c r="C238" t="s">
        <v>29</v>
      </c>
      <c r="D238" t="s">
        <v>61</v>
      </c>
      <c r="E238" t="s">
        <v>42</v>
      </c>
      <c r="F238" t="s">
        <v>22</v>
      </c>
      <c r="G238" t="s">
        <v>32</v>
      </c>
      <c r="H238" t="s">
        <v>33</v>
      </c>
      <c r="I238">
        <v>1</v>
      </c>
      <c r="J238">
        <v>2370</v>
      </c>
      <c r="K238">
        <v>0</v>
      </c>
      <c r="L238" t="s">
        <v>34</v>
      </c>
      <c r="M238" t="s">
        <v>55</v>
      </c>
      <c r="N238" t="s">
        <v>27</v>
      </c>
      <c r="O238">
        <v>2370</v>
      </c>
      <c r="P238">
        <v>0</v>
      </c>
      <c r="Q238">
        <v>2370</v>
      </c>
      <c r="R238">
        <v>4</v>
      </c>
    </row>
    <row r="239" spans="1:18">
      <c r="A239" t="s">
        <v>315</v>
      </c>
      <c r="B239" s="2">
        <v>45967</v>
      </c>
      <c r="C239" t="s">
        <v>29</v>
      </c>
      <c r="D239" t="s">
        <v>30</v>
      </c>
      <c r="E239" t="s">
        <v>42</v>
      </c>
      <c r="F239" t="s">
        <v>53</v>
      </c>
      <c r="G239" t="s">
        <v>73</v>
      </c>
      <c r="H239" t="s">
        <v>74</v>
      </c>
      <c r="I239">
        <v>1</v>
      </c>
      <c r="J239">
        <v>11470</v>
      </c>
      <c r="K239">
        <v>0.15</v>
      </c>
      <c r="L239" t="s">
        <v>54</v>
      </c>
      <c r="M239" t="s">
        <v>44</v>
      </c>
      <c r="N239" t="s">
        <v>27</v>
      </c>
      <c r="O239">
        <v>11470</v>
      </c>
      <c r="P239">
        <v>1720.5</v>
      </c>
      <c r="Q239">
        <v>9749.5</v>
      </c>
      <c r="R239">
        <v>3</v>
      </c>
    </row>
    <row r="240" spans="1:18">
      <c r="A240" t="s">
        <v>316</v>
      </c>
      <c r="B240" s="2">
        <v>45968</v>
      </c>
      <c r="C240" t="s">
        <v>40</v>
      </c>
      <c r="D240" t="s">
        <v>89</v>
      </c>
      <c r="E240" t="s">
        <v>21</v>
      </c>
      <c r="F240" t="s">
        <v>53</v>
      </c>
      <c r="G240" t="s">
        <v>101</v>
      </c>
      <c r="H240" t="s">
        <v>33</v>
      </c>
      <c r="I240">
        <v>5</v>
      </c>
      <c r="J240">
        <v>1830</v>
      </c>
      <c r="K240">
        <v>0.03</v>
      </c>
      <c r="L240" t="s">
        <v>54</v>
      </c>
      <c r="M240" t="s">
        <v>26</v>
      </c>
      <c r="N240" t="s">
        <v>27</v>
      </c>
      <c r="O240">
        <v>9150</v>
      </c>
      <c r="P240">
        <v>274.5</v>
      </c>
      <c r="Q240">
        <v>8875.5</v>
      </c>
      <c r="R240">
        <v>6</v>
      </c>
    </row>
    <row r="241" spans="1:18">
      <c r="A241" t="s">
        <v>317</v>
      </c>
      <c r="B241" s="2">
        <v>45969</v>
      </c>
      <c r="C241" t="s">
        <v>40</v>
      </c>
      <c r="D241" t="s">
        <v>41</v>
      </c>
      <c r="E241" t="s">
        <v>70</v>
      </c>
      <c r="F241" t="s">
        <v>22</v>
      </c>
      <c r="G241" t="s">
        <v>32</v>
      </c>
      <c r="H241" t="s">
        <v>33</v>
      </c>
      <c r="I241">
        <v>2</v>
      </c>
      <c r="J241">
        <v>2480</v>
      </c>
      <c r="K241">
        <v>0.08</v>
      </c>
      <c r="L241" t="s">
        <v>64</v>
      </c>
      <c r="M241" t="s">
        <v>55</v>
      </c>
      <c r="N241" t="s">
        <v>27</v>
      </c>
      <c r="O241">
        <v>4960</v>
      </c>
      <c r="P241">
        <v>396.8</v>
      </c>
      <c r="Q241">
        <v>4563.2</v>
      </c>
      <c r="R241">
        <v>2</v>
      </c>
    </row>
    <row r="242" spans="1:18">
      <c r="A242" t="s">
        <v>318</v>
      </c>
      <c r="B242" s="2">
        <v>45970</v>
      </c>
      <c r="C242" t="s">
        <v>19</v>
      </c>
      <c r="D242" t="s">
        <v>103</v>
      </c>
      <c r="E242" t="s">
        <v>42</v>
      </c>
      <c r="F242" t="s">
        <v>53</v>
      </c>
      <c r="G242" t="s">
        <v>43</v>
      </c>
      <c r="H242" t="s">
        <v>33</v>
      </c>
      <c r="I242">
        <v>3</v>
      </c>
      <c r="J242">
        <v>910</v>
      </c>
      <c r="K242">
        <v>0</v>
      </c>
      <c r="L242" t="s">
        <v>64</v>
      </c>
      <c r="M242" t="s">
        <v>55</v>
      </c>
      <c r="N242" t="s">
        <v>27</v>
      </c>
      <c r="O242">
        <v>2730</v>
      </c>
      <c r="P242">
        <v>0</v>
      </c>
      <c r="Q242">
        <v>2730</v>
      </c>
      <c r="R242">
        <v>2</v>
      </c>
    </row>
    <row r="243" spans="1:18">
      <c r="A243" t="s">
        <v>319</v>
      </c>
      <c r="B243" s="2">
        <v>45970</v>
      </c>
      <c r="C243" t="s">
        <v>29</v>
      </c>
      <c r="D243" t="s">
        <v>61</v>
      </c>
      <c r="E243" t="s">
        <v>42</v>
      </c>
      <c r="F243" t="s">
        <v>31</v>
      </c>
      <c r="G243" t="s">
        <v>37</v>
      </c>
      <c r="H243" t="s">
        <v>24</v>
      </c>
      <c r="I243">
        <v>3</v>
      </c>
      <c r="J243">
        <v>58970</v>
      </c>
      <c r="K243">
        <v>0.05</v>
      </c>
      <c r="L243" t="s">
        <v>54</v>
      </c>
      <c r="M243" t="s">
        <v>66</v>
      </c>
      <c r="N243" t="s">
        <v>27</v>
      </c>
      <c r="O243">
        <v>176910</v>
      </c>
      <c r="P243">
        <v>8845.5</v>
      </c>
      <c r="Q243">
        <v>168064.5</v>
      </c>
      <c r="R243">
        <v>3</v>
      </c>
    </row>
    <row r="244" spans="1:18">
      <c r="A244" t="s">
        <v>320</v>
      </c>
      <c r="B244" s="2">
        <v>45970</v>
      </c>
      <c r="C244" t="s">
        <v>40</v>
      </c>
      <c r="D244" t="s">
        <v>47</v>
      </c>
      <c r="E244" t="s">
        <v>70</v>
      </c>
      <c r="F244" t="s">
        <v>22</v>
      </c>
      <c r="G244" t="s">
        <v>43</v>
      </c>
      <c r="H244" t="s">
        <v>33</v>
      </c>
      <c r="I244">
        <v>2</v>
      </c>
      <c r="J244">
        <v>910</v>
      </c>
      <c r="K244">
        <v>0</v>
      </c>
      <c r="L244" t="s">
        <v>25</v>
      </c>
      <c r="M244" t="s">
        <v>50</v>
      </c>
      <c r="N244" t="s">
        <v>27</v>
      </c>
      <c r="O244">
        <v>1820</v>
      </c>
      <c r="P244">
        <v>0</v>
      </c>
      <c r="Q244">
        <v>1820</v>
      </c>
      <c r="R244">
        <v>4</v>
      </c>
    </row>
    <row r="245" spans="1:18">
      <c r="A245" t="s">
        <v>321</v>
      </c>
      <c r="B245" s="2">
        <v>45970</v>
      </c>
      <c r="C245" t="s">
        <v>29</v>
      </c>
      <c r="D245" t="s">
        <v>30</v>
      </c>
      <c r="E245" t="s">
        <v>70</v>
      </c>
      <c r="F245" t="s">
        <v>31</v>
      </c>
      <c r="G245" t="s">
        <v>37</v>
      </c>
      <c r="H245" t="s">
        <v>24</v>
      </c>
      <c r="I245">
        <v>2</v>
      </c>
      <c r="J245">
        <v>65440</v>
      </c>
      <c r="K245">
        <v>0</v>
      </c>
      <c r="L245" t="s">
        <v>25</v>
      </c>
      <c r="M245" t="s">
        <v>55</v>
      </c>
      <c r="N245" t="s">
        <v>27</v>
      </c>
      <c r="O245">
        <v>130880</v>
      </c>
      <c r="P245">
        <v>0</v>
      </c>
      <c r="Q245">
        <v>130880</v>
      </c>
      <c r="R245">
        <v>3</v>
      </c>
    </row>
    <row r="246" spans="1:18">
      <c r="A246" t="s">
        <v>322</v>
      </c>
      <c r="B246" s="2">
        <v>45971</v>
      </c>
      <c r="C246" t="s">
        <v>40</v>
      </c>
      <c r="D246" t="s">
        <v>41</v>
      </c>
      <c r="E246" t="s">
        <v>70</v>
      </c>
      <c r="F246" t="s">
        <v>53</v>
      </c>
      <c r="G246" t="s">
        <v>37</v>
      </c>
      <c r="H246" t="s">
        <v>24</v>
      </c>
      <c r="I246">
        <v>5</v>
      </c>
      <c r="J246">
        <v>60420</v>
      </c>
      <c r="K246">
        <v>0.05</v>
      </c>
      <c r="L246" t="s">
        <v>64</v>
      </c>
      <c r="M246" t="s">
        <v>55</v>
      </c>
      <c r="N246" t="s">
        <v>27</v>
      </c>
      <c r="O246">
        <v>302100</v>
      </c>
      <c r="P246">
        <v>15105</v>
      </c>
      <c r="Q246">
        <v>286995</v>
      </c>
      <c r="R246">
        <v>3</v>
      </c>
    </row>
    <row r="247" spans="1:18">
      <c r="A247" t="s">
        <v>323</v>
      </c>
      <c r="B247" s="2">
        <v>45971</v>
      </c>
      <c r="C247" t="s">
        <v>19</v>
      </c>
      <c r="D247" t="s">
        <v>57</v>
      </c>
      <c r="E247" t="s">
        <v>42</v>
      </c>
      <c r="F247" t="s">
        <v>22</v>
      </c>
      <c r="G247" t="s">
        <v>73</v>
      </c>
      <c r="H247" t="s">
        <v>74</v>
      </c>
      <c r="I247">
        <v>1</v>
      </c>
      <c r="J247">
        <v>11170</v>
      </c>
      <c r="K247">
        <v>0.08</v>
      </c>
      <c r="L247" t="s">
        <v>54</v>
      </c>
      <c r="M247" t="s">
        <v>71</v>
      </c>
      <c r="N247" t="s">
        <v>27</v>
      </c>
      <c r="O247">
        <v>11170</v>
      </c>
      <c r="P247">
        <v>893.6</v>
      </c>
      <c r="Q247">
        <v>10276.4</v>
      </c>
      <c r="R247">
        <v>3</v>
      </c>
    </row>
    <row r="248" spans="1:18">
      <c r="A248" t="s">
        <v>324</v>
      </c>
      <c r="B248" s="2">
        <v>45971</v>
      </c>
      <c r="C248" t="s">
        <v>29</v>
      </c>
      <c r="D248" t="s">
        <v>30</v>
      </c>
      <c r="E248" t="s">
        <v>42</v>
      </c>
      <c r="F248" t="s">
        <v>31</v>
      </c>
      <c r="G248" t="s">
        <v>92</v>
      </c>
      <c r="H248" t="s">
        <v>24</v>
      </c>
      <c r="I248">
        <v>2</v>
      </c>
      <c r="J248">
        <v>16920</v>
      </c>
      <c r="K248">
        <v>0.03</v>
      </c>
      <c r="L248" t="s">
        <v>34</v>
      </c>
      <c r="M248" t="s">
        <v>44</v>
      </c>
      <c r="N248" t="s">
        <v>27</v>
      </c>
      <c r="O248">
        <v>33840</v>
      </c>
      <c r="P248">
        <v>1015.2</v>
      </c>
      <c r="Q248">
        <v>32824.800000000003</v>
      </c>
      <c r="R248">
        <v>3</v>
      </c>
    </row>
    <row r="249" spans="1:18">
      <c r="A249" t="s">
        <v>325</v>
      </c>
      <c r="B249" s="2">
        <v>45972</v>
      </c>
      <c r="C249" t="s">
        <v>19</v>
      </c>
      <c r="D249" t="s">
        <v>103</v>
      </c>
      <c r="E249" t="s">
        <v>21</v>
      </c>
      <c r="F249" t="s">
        <v>22</v>
      </c>
      <c r="G249" t="s">
        <v>58</v>
      </c>
      <c r="H249" t="s">
        <v>59</v>
      </c>
      <c r="I249">
        <v>1</v>
      </c>
      <c r="J249">
        <v>7400</v>
      </c>
      <c r="K249">
        <v>0</v>
      </c>
      <c r="L249" t="s">
        <v>64</v>
      </c>
      <c r="M249" t="s">
        <v>35</v>
      </c>
      <c r="N249" t="s">
        <v>27</v>
      </c>
      <c r="O249">
        <v>7400</v>
      </c>
      <c r="P249">
        <v>0</v>
      </c>
      <c r="Q249">
        <v>7400</v>
      </c>
      <c r="R249">
        <v>3</v>
      </c>
    </row>
    <row r="250" spans="1:18">
      <c r="A250" t="s">
        <v>326</v>
      </c>
      <c r="B250" s="2">
        <v>45973</v>
      </c>
      <c r="C250" t="s">
        <v>19</v>
      </c>
      <c r="D250" t="s">
        <v>20</v>
      </c>
      <c r="E250" t="s">
        <v>42</v>
      </c>
      <c r="F250" t="s">
        <v>31</v>
      </c>
      <c r="G250" t="s">
        <v>37</v>
      </c>
      <c r="H250" t="s">
        <v>24</v>
      </c>
      <c r="I250">
        <v>1</v>
      </c>
      <c r="J250">
        <v>59200</v>
      </c>
      <c r="K250">
        <v>0.05</v>
      </c>
      <c r="L250" t="s">
        <v>54</v>
      </c>
      <c r="M250" t="s">
        <v>55</v>
      </c>
      <c r="N250" t="s">
        <v>27</v>
      </c>
      <c r="O250">
        <v>59200</v>
      </c>
      <c r="P250">
        <v>2960</v>
      </c>
      <c r="Q250">
        <v>56240</v>
      </c>
      <c r="R250">
        <v>3</v>
      </c>
    </row>
    <row r="251" spans="1:18">
      <c r="A251" t="s">
        <v>327</v>
      </c>
      <c r="B251" s="2">
        <v>45973</v>
      </c>
      <c r="C251" t="s">
        <v>40</v>
      </c>
      <c r="D251" t="s">
        <v>115</v>
      </c>
      <c r="E251" t="s">
        <v>42</v>
      </c>
      <c r="F251" t="s">
        <v>31</v>
      </c>
      <c r="G251" t="s">
        <v>23</v>
      </c>
      <c r="H251" t="s">
        <v>24</v>
      </c>
      <c r="I251">
        <v>1</v>
      </c>
      <c r="J251">
        <v>26970</v>
      </c>
      <c r="K251">
        <v>0.08</v>
      </c>
      <c r="L251" t="s">
        <v>64</v>
      </c>
      <c r="M251" t="s">
        <v>71</v>
      </c>
      <c r="N251" t="s">
        <v>27</v>
      </c>
      <c r="O251">
        <v>26970</v>
      </c>
      <c r="P251">
        <v>2157.6</v>
      </c>
      <c r="Q251">
        <v>24812.400000000001</v>
      </c>
      <c r="R251">
        <v>3</v>
      </c>
    </row>
    <row r="252" spans="1:18">
      <c r="A252" t="s">
        <v>328</v>
      </c>
      <c r="B252" s="2">
        <v>45973</v>
      </c>
      <c r="C252" t="s">
        <v>29</v>
      </c>
      <c r="D252" t="s">
        <v>78</v>
      </c>
      <c r="E252" t="s">
        <v>42</v>
      </c>
      <c r="F252" t="s">
        <v>22</v>
      </c>
      <c r="G252" t="s">
        <v>152</v>
      </c>
      <c r="H252" t="s">
        <v>74</v>
      </c>
      <c r="I252">
        <v>3</v>
      </c>
      <c r="J252">
        <v>14170</v>
      </c>
      <c r="K252">
        <v>0.03</v>
      </c>
      <c r="L252" t="s">
        <v>68</v>
      </c>
      <c r="M252" t="s">
        <v>26</v>
      </c>
      <c r="N252" t="s">
        <v>27</v>
      </c>
      <c r="O252">
        <v>42510</v>
      </c>
      <c r="P252">
        <v>1275.3</v>
      </c>
      <c r="Q252">
        <v>41234.699999999997</v>
      </c>
      <c r="R252">
        <v>4</v>
      </c>
    </row>
    <row r="253" spans="1:18">
      <c r="A253" t="s">
        <v>329</v>
      </c>
      <c r="B253" s="2">
        <v>45974</v>
      </c>
      <c r="C253" t="s">
        <v>40</v>
      </c>
      <c r="D253" t="s">
        <v>115</v>
      </c>
      <c r="E253" t="s">
        <v>42</v>
      </c>
      <c r="F253" t="s">
        <v>22</v>
      </c>
      <c r="G253" t="s">
        <v>48</v>
      </c>
      <c r="H253" t="s">
        <v>49</v>
      </c>
      <c r="I253">
        <v>1</v>
      </c>
      <c r="J253">
        <v>13360</v>
      </c>
      <c r="K253">
        <v>0.08</v>
      </c>
      <c r="L253" t="s">
        <v>54</v>
      </c>
      <c r="M253" t="s">
        <v>38</v>
      </c>
      <c r="N253" t="s">
        <v>27</v>
      </c>
      <c r="O253">
        <v>13360</v>
      </c>
      <c r="P253">
        <v>1068.8</v>
      </c>
      <c r="Q253">
        <v>12291.2</v>
      </c>
      <c r="R253">
        <v>2</v>
      </c>
    </row>
    <row r="254" spans="1:18">
      <c r="A254" t="s">
        <v>330</v>
      </c>
      <c r="B254" s="2">
        <v>45974</v>
      </c>
      <c r="C254" t="s">
        <v>40</v>
      </c>
      <c r="D254" t="s">
        <v>47</v>
      </c>
      <c r="E254" t="s">
        <v>42</v>
      </c>
      <c r="F254" t="s">
        <v>31</v>
      </c>
      <c r="G254" t="s">
        <v>43</v>
      </c>
      <c r="H254" t="s">
        <v>33</v>
      </c>
      <c r="I254">
        <v>3</v>
      </c>
      <c r="J254">
        <v>970</v>
      </c>
      <c r="K254">
        <v>0.15</v>
      </c>
      <c r="L254" t="s">
        <v>34</v>
      </c>
      <c r="M254" t="s">
        <v>55</v>
      </c>
      <c r="N254" t="s">
        <v>27</v>
      </c>
      <c r="O254">
        <v>2910</v>
      </c>
      <c r="P254">
        <v>436.5</v>
      </c>
      <c r="Q254">
        <v>2473.5</v>
      </c>
      <c r="R254">
        <v>1</v>
      </c>
    </row>
    <row r="255" spans="1:18">
      <c r="A255" t="s">
        <v>331</v>
      </c>
      <c r="B255" s="2">
        <v>45975</v>
      </c>
      <c r="C255" t="s">
        <v>40</v>
      </c>
      <c r="D255" t="s">
        <v>115</v>
      </c>
      <c r="E255" t="s">
        <v>70</v>
      </c>
      <c r="F255" t="s">
        <v>22</v>
      </c>
      <c r="G255" t="s">
        <v>58</v>
      </c>
      <c r="H255" t="s">
        <v>59</v>
      </c>
      <c r="I255">
        <v>5</v>
      </c>
      <c r="J255">
        <v>7570</v>
      </c>
      <c r="K255">
        <v>0.08</v>
      </c>
      <c r="L255" t="s">
        <v>68</v>
      </c>
      <c r="M255" t="s">
        <v>44</v>
      </c>
      <c r="N255" t="s">
        <v>27</v>
      </c>
      <c r="O255">
        <v>37850</v>
      </c>
      <c r="P255">
        <v>3028</v>
      </c>
      <c r="Q255">
        <v>34822</v>
      </c>
      <c r="R255">
        <v>6</v>
      </c>
    </row>
    <row r="256" spans="1:18">
      <c r="A256" t="s">
        <v>332</v>
      </c>
      <c r="B256" s="2">
        <v>45975</v>
      </c>
      <c r="C256" t="s">
        <v>19</v>
      </c>
      <c r="D256" t="s">
        <v>103</v>
      </c>
      <c r="E256" t="s">
        <v>42</v>
      </c>
      <c r="F256" t="s">
        <v>22</v>
      </c>
      <c r="G256" t="s">
        <v>105</v>
      </c>
      <c r="H256" t="s">
        <v>24</v>
      </c>
      <c r="I256">
        <v>1</v>
      </c>
      <c r="J256">
        <v>3030</v>
      </c>
      <c r="K256">
        <v>0.1</v>
      </c>
      <c r="L256" t="s">
        <v>64</v>
      </c>
      <c r="M256" t="s">
        <v>71</v>
      </c>
      <c r="N256" t="s">
        <v>27</v>
      </c>
      <c r="O256">
        <v>3030</v>
      </c>
      <c r="P256">
        <v>303</v>
      </c>
      <c r="Q256">
        <v>2727</v>
      </c>
      <c r="R256">
        <v>6</v>
      </c>
    </row>
    <row r="257" spans="1:18">
      <c r="A257" t="s">
        <v>333</v>
      </c>
      <c r="B257" s="2">
        <v>45976</v>
      </c>
      <c r="C257" t="s">
        <v>19</v>
      </c>
      <c r="D257" t="s">
        <v>52</v>
      </c>
      <c r="E257" t="s">
        <v>70</v>
      </c>
      <c r="F257" t="s">
        <v>22</v>
      </c>
      <c r="G257" t="s">
        <v>152</v>
      </c>
      <c r="H257" t="s">
        <v>74</v>
      </c>
      <c r="I257">
        <v>2</v>
      </c>
      <c r="J257">
        <v>14480</v>
      </c>
      <c r="K257">
        <v>0</v>
      </c>
      <c r="L257" t="s">
        <v>25</v>
      </c>
      <c r="M257" t="s">
        <v>55</v>
      </c>
      <c r="N257" t="s">
        <v>27</v>
      </c>
      <c r="O257">
        <v>28960</v>
      </c>
      <c r="P257">
        <v>0</v>
      </c>
      <c r="Q257">
        <v>28960</v>
      </c>
      <c r="R257">
        <v>4</v>
      </c>
    </row>
    <row r="258" spans="1:18">
      <c r="A258" t="s">
        <v>334</v>
      </c>
      <c r="B258" s="2">
        <v>45978</v>
      </c>
      <c r="C258" t="s">
        <v>40</v>
      </c>
      <c r="D258" t="s">
        <v>41</v>
      </c>
      <c r="E258" t="s">
        <v>42</v>
      </c>
      <c r="F258" t="s">
        <v>22</v>
      </c>
      <c r="G258" t="s">
        <v>58</v>
      </c>
      <c r="H258" t="s">
        <v>59</v>
      </c>
      <c r="I258">
        <v>1</v>
      </c>
      <c r="J258">
        <v>7160</v>
      </c>
      <c r="K258">
        <v>0.08</v>
      </c>
      <c r="L258" t="s">
        <v>54</v>
      </c>
      <c r="M258" t="s">
        <v>44</v>
      </c>
      <c r="N258" t="s">
        <v>27</v>
      </c>
      <c r="O258">
        <v>7160</v>
      </c>
      <c r="P258">
        <v>572.79999999999995</v>
      </c>
      <c r="Q258">
        <v>6587.2</v>
      </c>
      <c r="R258">
        <v>2</v>
      </c>
    </row>
    <row r="259" spans="1:18">
      <c r="A259" t="s">
        <v>335</v>
      </c>
      <c r="B259" s="2">
        <v>45978</v>
      </c>
      <c r="C259" t="s">
        <v>19</v>
      </c>
      <c r="D259" t="s">
        <v>57</v>
      </c>
      <c r="E259" t="s">
        <v>21</v>
      </c>
      <c r="F259" t="s">
        <v>22</v>
      </c>
      <c r="G259" t="s">
        <v>48</v>
      </c>
      <c r="H259" t="s">
        <v>49</v>
      </c>
      <c r="I259">
        <v>3</v>
      </c>
      <c r="J259">
        <v>12380</v>
      </c>
      <c r="K259">
        <v>0.05</v>
      </c>
      <c r="L259" t="s">
        <v>25</v>
      </c>
      <c r="M259" t="s">
        <v>26</v>
      </c>
      <c r="N259" t="s">
        <v>27</v>
      </c>
      <c r="O259">
        <v>37140</v>
      </c>
      <c r="P259">
        <v>1857</v>
      </c>
      <c r="Q259">
        <v>35283</v>
      </c>
      <c r="R259">
        <v>6</v>
      </c>
    </row>
    <row r="260" spans="1:18">
      <c r="A260" t="s">
        <v>336</v>
      </c>
      <c r="B260" s="2">
        <v>45978</v>
      </c>
      <c r="C260" t="s">
        <v>82</v>
      </c>
      <c r="D260" t="s">
        <v>122</v>
      </c>
      <c r="E260" t="s">
        <v>42</v>
      </c>
      <c r="F260" t="s">
        <v>22</v>
      </c>
      <c r="G260" t="s">
        <v>58</v>
      </c>
      <c r="H260" t="s">
        <v>59</v>
      </c>
      <c r="I260">
        <v>1</v>
      </c>
      <c r="J260">
        <v>7490</v>
      </c>
      <c r="K260">
        <v>0.15</v>
      </c>
      <c r="L260" t="s">
        <v>54</v>
      </c>
      <c r="M260" t="s">
        <v>38</v>
      </c>
      <c r="N260" t="s">
        <v>27</v>
      </c>
      <c r="O260">
        <v>7490</v>
      </c>
      <c r="P260">
        <v>1123.5</v>
      </c>
      <c r="Q260">
        <v>6366.5</v>
      </c>
      <c r="R260">
        <v>4</v>
      </c>
    </row>
    <row r="261" spans="1:18">
      <c r="A261" t="s">
        <v>337</v>
      </c>
      <c r="B261" s="2">
        <v>45979</v>
      </c>
      <c r="C261" t="s">
        <v>82</v>
      </c>
      <c r="D261" t="s">
        <v>83</v>
      </c>
      <c r="E261" t="s">
        <v>42</v>
      </c>
      <c r="F261" t="s">
        <v>53</v>
      </c>
      <c r="G261" t="s">
        <v>73</v>
      </c>
      <c r="H261" t="s">
        <v>74</v>
      </c>
      <c r="I261">
        <v>3</v>
      </c>
      <c r="J261">
        <v>11190</v>
      </c>
      <c r="K261">
        <v>0.08</v>
      </c>
      <c r="L261" t="s">
        <v>68</v>
      </c>
      <c r="M261" t="s">
        <v>44</v>
      </c>
      <c r="N261" t="s">
        <v>27</v>
      </c>
      <c r="O261">
        <v>33570</v>
      </c>
      <c r="P261">
        <v>2685.6</v>
      </c>
      <c r="Q261">
        <v>30884.400000000001</v>
      </c>
      <c r="R261">
        <v>2</v>
      </c>
    </row>
    <row r="262" spans="1:18">
      <c r="A262" t="s">
        <v>338</v>
      </c>
      <c r="B262" s="2">
        <v>45981</v>
      </c>
      <c r="C262" t="s">
        <v>40</v>
      </c>
      <c r="D262" t="s">
        <v>89</v>
      </c>
      <c r="E262" t="s">
        <v>42</v>
      </c>
      <c r="F262" t="s">
        <v>22</v>
      </c>
      <c r="G262" t="s">
        <v>92</v>
      </c>
      <c r="H262" t="s">
        <v>24</v>
      </c>
      <c r="I262">
        <v>3</v>
      </c>
      <c r="J262">
        <v>15980</v>
      </c>
      <c r="K262">
        <v>0.05</v>
      </c>
      <c r="L262" t="s">
        <v>64</v>
      </c>
      <c r="M262" t="s">
        <v>26</v>
      </c>
      <c r="N262" t="s">
        <v>27</v>
      </c>
      <c r="O262">
        <v>47940</v>
      </c>
      <c r="P262">
        <v>2397</v>
      </c>
      <c r="Q262">
        <v>45543</v>
      </c>
      <c r="R262">
        <v>4</v>
      </c>
    </row>
    <row r="263" spans="1:18">
      <c r="A263" t="s">
        <v>339</v>
      </c>
      <c r="B263" s="2">
        <v>45982</v>
      </c>
      <c r="C263" t="s">
        <v>40</v>
      </c>
      <c r="D263" t="s">
        <v>89</v>
      </c>
      <c r="E263" t="s">
        <v>21</v>
      </c>
      <c r="F263" t="s">
        <v>22</v>
      </c>
      <c r="G263" t="s">
        <v>37</v>
      </c>
      <c r="H263" t="s">
        <v>24</v>
      </c>
      <c r="I263">
        <v>1</v>
      </c>
      <c r="J263">
        <v>66180</v>
      </c>
      <c r="K263">
        <v>0.05</v>
      </c>
      <c r="L263" t="s">
        <v>68</v>
      </c>
      <c r="M263" t="s">
        <v>44</v>
      </c>
      <c r="N263" t="s">
        <v>27</v>
      </c>
      <c r="O263">
        <v>66180</v>
      </c>
      <c r="P263">
        <v>3309</v>
      </c>
      <c r="Q263">
        <v>62871</v>
      </c>
      <c r="R263">
        <v>6</v>
      </c>
    </row>
    <row r="264" spans="1:18">
      <c r="A264" t="s">
        <v>340</v>
      </c>
      <c r="B264" s="2">
        <v>45983</v>
      </c>
      <c r="C264" t="s">
        <v>40</v>
      </c>
      <c r="D264" t="s">
        <v>41</v>
      </c>
      <c r="E264" t="s">
        <v>42</v>
      </c>
      <c r="F264" t="s">
        <v>22</v>
      </c>
      <c r="G264" t="s">
        <v>92</v>
      </c>
      <c r="H264" t="s">
        <v>24</v>
      </c>
      <c r="I264">
        <v>1</v>
      </c>
      <c r="J264">
        <v>15880</v>
      </c>
      <c r="K264">
        <v>0</v>
      </c>
      <c r="L264" t="s">
        <v>54</v>
      </c>
      <c r="M264" t="s">
        <v>66</v>
      </c>
      <c r="N264" t="s">
        <v>27</v>
      </c>
      <c r="O264">
        <v>15880</v>
      </c>
      <c r="P264">
        <v>0</v>
      </c>
      <c r="Q264">
        <v>15880</v>
      </c>
      <c r="R264">
        <v>3</v>
      </c>
    </row>
    <row r="265" spans="1:18">
      <c r="A265" t="s">
        <v>341</v>
      </c>
      <c r="B265" s="2">
        <v>45984</v>
      </c>
      <c r="C265" t="s">
        <v>19</v>
      </c>
      <c r="D265" t="s">
        <v>52</v>
      </c>
      <c r="E265" t="s">
        <v>21</v>
      </c>
      <c r="F265" t="s">
        <v>22</v>
      </c>
      <c r="G265" t="s">
        <v>101</v>
      </c>
      <c r="H265" t="s">
        <v>33</v>
      </c>
      <c r="I265">
        <v>1</v>
      </c>
      <c r="J265">
        <v>1910</v>
      </c>
      <c r="K265">
        <v>0.05</v>
      </c>
      <c r="L265" t="s">
        <v>68</v>
      </c>
      <c r="M265" t="s">
        <v>71</v>
      </c>
      <c r="N265" t="s">
        <v>27</v>
      </c>
      <c r="O265">
        <v>1910</v>
      </c>
      <c r="P265">
        <v>95.5</v>
      </c>
      <c r="Q265">
        <v>1814.5</v>
      </c>
      <c r="R265">
        <v>2</v>
      </c>
    </row>
    <row r="266" spans="1:18">
      <c r="A266" t="s">
        <v>342</v>
      </c>
      <c r="B266" s="2">
        <v>45985</v>
      </c>
      <c r="C266" t="s">
        <v>29</v>
      </c>
      <c r="D266" t="s">
        <v>85</v>
      </c>
      <c r="E266" t="s">
        <v>42</v>
      </c>
      <c r="F266" t="s">
        <v>22</v>
      </c>
      <c r="G266" t="s">
        <v>43</v>
      </c>
      <c r="H266" t="s">
        <v>33</v>
      </c>
      <c r="I266">
        <v>3</v>
      </c>
      <c r="J266">
        <v>890</v>
      </c>
      <c r="K266">
        <v>0.05</v>
      </c>
      <c r="L266" t="s">
        <v>25</v>
      </c>
      <c r="M266" t="s">
        <v>71</v>
      </c>
      <c r="N266" t="s">
        <v>27</v>
      </c>
      <c r="O266">
        <v>2670</v>
      </c>
      <c r="P266">
        <v>133.5</v>
      </c>
      <c r="Q266">
        <v>2536.5</v>
      </c>
      <c r="R266">
        <v>5</v>
      </c>
    </row>
    <row r="267" spans="1:18">
      <c r="A267" t="s">
        <v>343</v>
      </c>
      <c r="B267" s="2">
        <v>45986</v>
      </c>
      <c r="C267" t="s">
        <v>40</v>
      </c>
      <c r="D267" t="s">
        <v>89</v>
      </c>
      <c r="E267" t="s">
        <v>42</v>
      </c>
      <c r="F267" t="s">
        <v>22</v>
      </c>
      <c r="G267" t="s">
        <v>73</v>
      </c>
      <c r="H267" t="s">
        <v>74</v>
      </c>
      <c r="I267">
        <v>1</v>
      </c>
      <c r="J267">
        <v>12230</v>
      </c>
      <c r="K267">
        <v>0</v>
      </c>
      <c r="L267" t="s">
        <v>25</v>
      </c>
      <c r="M267" t="s">
        <v>71</v>
      </c>
      <c r="N267" t="s">
        <v>27</v>
      </c>
      <c r="O267">
        <v>12230</v>
      </c>
      <c r="P267">
        <v>0</v>
      </c>
      <c r="Q267">
        <v>12230</v>
      </c>
      <c r="R267">
        <v>2</v>
      </c>
    </row>
    <row r="268" spans="1:18">
      <c r="A268" t="s">
        <v>344</v>
      </c>
      <c r="B268" s="2">
        <v>45986</v>
      </c>
      <c r="C268" t="s">
        <v>19</v>
      </c>
      <c r="D268" t="s">
        <v>103</v>
      </c>
      <c r="E268" t="s">
        <v>21</v>
      </c>
      <c r="F268" t="s">
        <v>31</v>
      </c>
      <c r="G268" t="s">
        <v>23</v>
      </c>
      <c r="H268" t="s">
        <v>24</v>
      </c>
      <c r="I268">
        <v>3</v>
      </c>
      <c r="J268">
        <v>27700</v>
      </c>
      <c r="K268">
        <v>0.08</v>
      </c>
      <c r="L268" t="s">
        <v>64</v>
      </c>
      <c r="M268" t="s">
        <v>38</v>
      </c>
      <c r="N268" t="s">
        <v>27</v>
      </c>
      <c r="O268">
        <v>83100</v>
      </c>
      <c r="P268">
        <v>6648</v>
      </c>
      <c r="Q268">
        <v>76452</v>
      </c>
      <c r="R268">
        <v>2</v>
      </c>
    </row>
    <row r="269" spans="1:18">
      <c r="A269" t="s">
        <v>345</v>
      </c>
      <c r="B269" s="2">
        <v>45987</v>
      </c>
      <c r="C269" t="s">
        <v>40</v>
      </c>
      <c r="D269" t="s">
        <v>89</v>
      </c>
      <c r="E269" t="s">
        <v>70</v>
      </c>
      <c r="F269" t="s">
        <v>31</v>
      </c>
      <c r="G269" t="s">
        <v>58</v>
      </c>
      <c r="H269" t="s">
        <v>59</v>
      </c>
      <c r="I269">
        <v>3</v>
      </c>
      <c r="J269">
        <v>6870</v>
      </c>
      <c r="K269">
        <v>0.1</v>
      </c>
      <c r="L269" t="s">
        <v>64</v>
      </c>
      <c r="M269" t="s">
        <v>50</v>
      </c>
      <c r="N269" t="s">
        <v>27</v>
      </c>
      <c r="O269">
        <v>20610</v>
      </c>
      <c r="P269">
        <v>2061</v>
      </c>
      <c r="Q269">
        <v>18549</v>
      </c>
      <c r="R269">
        <v>3</v>
      </c>
    </row>
    <row r="270" spans="1:18">
      <c r="A270" t="s">
        <v>346</v>
      </c>
      <c r="B270" s="2">
        <v>45987</v>
      </c>
      <c r="C270" t="s">
        <v>40</v>
      </c>
      <c r="D270" t="s">
        <v>41</v>
      </c>
      <c r="E270" t="s">
        <v>21</v>
      </c>
      <c r="F270" t="s">
        <v>31</v>
      </c>
      <c r="G270" t="s">
        <v>92</v>
      </c>
      <c r="H270" t="s">
        <v>24</v>
      </c>
      <c r="I270">
        <v>2</v>
      </c>
      <c r="J270">
        <v>16960</v>
      </c>
      <c r="K270">
        <v>0.05</v>
      </c>
      <c r="L270" t="s">
        <v>68</v>
      </c>
      <c r="M270" t="s">
        <v>55</v>
      </c>
      <c r="N270" t="s">
        <v>27</v>
      </c>
      <c r="O270">
        <v>33920</v>
      </c>
      <c r="P270">
        <v>1696</v>
      </c>
      <c r="Q270">
        <v>32224</v>
      </c>
      <c r="R270">
        <v>5</v>
      </c>
    </row>
    <row r="271" spans="1:18">
      <c r="A271" t="s">
        <v>347</v>
      </c>
      <c r="B271" s="2">
        <v>45987</v>
      </c>
      <c r="C271" t="s">
        <v>19</v>
      </c>
      <c r="D271" t="s">
        <v>103</v>
      </c>
      <c r="E271" t="s">
        <v>21</v>
      </c>
      <c r="F271" t="s">
        <v>22</v>
      </c>
      <c r="G271" t="s">
        <v>73</v>
      </c>
      <c r="H271" t="s">
        <v>74</v>
      </c>
      <c r="I271">
        <v>2</v>
      </c>
      <c r="J271">
        <v>11870</v>
      </c>
      <c r="K271">
        <v>0.03</v>
      </c>
      <c r="L271" t="s">
        <v>68</v>
      </c>
      <c r="M271" t="s">
        <v>71</v>
      </c>
      <c r="N271" t="s">
        <v>27</v>
      </c>
      <c r="O271">
        <v>23740</v>
      </c>
      <c r="P271">
        <v>712.2</v>
      </c>
      <c r="Q271">
        <v>23027.8</v>
      </c>
      <c r="R271">
        <v>3</v>
      </c>
    </row>
    <row r="272" spans="1:18">
      <c r="A272" t="s">
        <v>348</v>
      </c>
      <c r="B272" s="2">
        <v>45989</v>
      </c>
      <c r="C272" t="s">
        <v>82</v>
      </c>
      <c r="D272" t="s">
        <v>122</v>
      </c>
      <c r="E272" t="s">
        <v>42</v>
      </c>
      <c r="F272" t="s">
        <v>22</v>
      </c>
      <c r="G272" t="s">
        <v>43</v>
      </c>
      <c r="H272" t="s">
        <v>33</v>
      </c>
      <c r="I272">
        <v>4</v>
      </c>
      <c r="J272">
        <v>940</v>
      </c>
      <c r="K272">
        <v>0.15</v>
      </c>
      <c r="L272" t="s">
        <v>25</v>
      </c>
      <c r="M272" t="s">
        <v>50</v>
      </c>
      <c r="N272" t="s">
        <v>27</v>
      </c>
      <c r="O272">
        <v>3760</v>
      </c>
      <c r="P272">
        <v>564</v>
      </c>
      <c r="Q272">
        <v>3196</v>
      </c>
      <c r="R272">
        <v>3</v>
      </c>
    </row>
    <row r="273" spans="1:18">
      <c r="A273" t="s">
        <v>349</v>
      </c>
      <c r="B273" s="2">
        <v>45990</v>
      </c>
      <c r="C273" t="s">
        <v>40</v>
      </c>
      <c r="D273" t="s">
        <v>47</v>
      </c>
      <c r="E273" t="s">
        <v>42</v>
      </c>
      <c r="F273" t="s">
        <v>22</v>
      </c>
      <c r="G273" t="s">
        <v>23</v>
      </c>
      <c r="H273" t="s">
        <v>24</v>
      </c>
      <c r="I273">
        <v>1</v>
      </c>
      <c r="J273">
        <v>29720</v>
      </c>
      <c r="K273">
        <v>0</v>
      </c>
      <c r="L273" t="s">
        <v>64</v>
      </c>
      <c r="M273" t="s">
        <v>71</v>
      </c>
      <c r="N273" t="s">
        <v>27</v>
      </c>
      <c r="O273">
        <v>29720</v>
      </c>
      <c r="P273">
        <v>0</v>
      </c>
      <c r="Q273">
        <v>29720</v>
      </c>
      <c r="R273">
        <v>1</v>
      </c>
    </row>
    <row r="274" spans="1:18">
      <c r="A274" t="s">
        <v>350</v>
      </c>
      <c r="B274" s="2">
        <v>45990</v>
      </c>
      <c r="C274" t="s">
        <v>19</v>
      </c>
      <c r="D274" t="s">
        <v>57</v>
      </c>
      <c r="E274" t="s">
        <v>21</v>
      </c>
      <c r="F274" t="s">
        <v>31</v>
      </c>
      <c r="G274" t="s">
        <v>152</v>
      </c>
      <c r="H274" t="s">
        <v>74</v>
      </c>
      <c r="I274">
        <v>1</v>
      </c>
      <c r="J274">
        <v>13510</v>
      </c>
      <c r="K274">
        <v>0.05</v>
      </c>
      <c r="L274" t="s">
        <v>68</v>
      </c>
      <c r="M274" t="s">
        <v>26</v>
      </c>
      <c r="N274" t="s">
        <v>45</v>
      </c>
      <c r="O274">
        <v>0</v>
      </c>
      <c r="P274">
        <v>0</v>
      </c>
      <c r="Q274">
        <v>0</v>
      </c>
    </row>
    <row r="275" spans="1:18">
      <c r="A275" t="s">
        <v>351</v>
      </c>
      <c r="B275" s="2">
        <v>45990</v>
      </c>
      <c r="C275" t="s">
        <v>82</v>
      </c>
      <c r="D275" t="s">
        <v>83</v>
      </c>
      <c r="E275" t="s">
        <v>21</v>
      </c>
      <c r="F275" t="s">
        <v>22</v>
      </c>
      <c r="G275" t="s">
        <v>32</v>
      </c>
      <c r="H275" t="s">
        <v>33</v>
      </c>
      <c r="I275">
        <v>2</v>
      </c>
      <c r="J275">
        <v>2340</v>
      </c>
      <c r="K275">
        <v>0.1</v>
      </c>
      <c r="L275" t="s">
        <v>25</v>
      </c>
      <c r="M275" t="s">
        <v>55</v>
      </c>
      <c r="N275" t="s">
        <v>27</v>
      </c>
      <c r="O275">
        <v>4680</v>
      </c>
      <c r="P275">
        <v>468</v>
      </c>
      <c r="Q275">
        <v>4212</v>
      </c>
      <c r="R275">
        <v>1</v>
      </c>
    </row>
    <row r="276" spans="1:18">
      <c r="A276" t="s">
        <v>352</v>
      </c>
      <c r="B276" s="2">
        <v>45991</v>
      </c>
      <c r="C276" t="s">
        <v>82</v>
      </c>
      <c r="D276" t="s">
        <v>178</v>
      </c>
      <c r="E276" t="s">
        <v>21</v>
      </c>
      <c r="F276" t="s">
        <v>22</v>
      </c>
      <c r="G276" t="s">
        <v>95</v>
      </c>
      <c r="H276" t="s">
        <v>24</v>
      </c>
      <c r="I276">
        <v>1</v>
      </c>
      <c r="J276">
        <v>23240</v>
      </c>
      <c r="K276">
        <v>0</v>
      </c>
      <c r="L276" t="s">
        <v>64</v>
      </c>
      <c r="M276" t="s">
        <v>38</v>
      </c>
      <c r="N276" t="s">
        <v>130</v>
      </c>
      <c r="O276">
        <v>23240</v>
      </c>
      <c r="P276">
        <v>0</v>
      </c>
      <c r="Q276">
        <v>23240</v>
      </c>
      <c r="R276">
        <v>5</v>
      </c>
    </row>
    <row r="277" spans="1:18">
      <c r="A277" t="s">
        <v>353</v>
      </c>
      <c r="B277" s="2">
        <v>45992</v>
      </c>
      <c r="C277" t="s">
        <v>82</v>
      </c>
      <c r="D277" t="s">
        <v>178</v>
      </c>
      <c r="E277" t="s">
        <v>70</v>
      </c>
      <c r="F277" t="s">
        <v>31</v>
      </c>
      <c r="G277" t="s">
        <v>48</v>
      </c>
      <c r="H277" t="s">
        <v>49</v>
      </c>
      <c r="I277">
        <v>3</v>
      </c>
      <c r="J277">
        <v>12710</v>
      </c>
      <c r="K277">
        <v>0.03</v>
      </c>
      <c r="L277" t="s">
        <v>34</v>
      </c>
      <c r="M277" t="s">
        <v>44</v>
      </c>
      <c r="N277" t="s">
        <v>27</v>
      </c>
      <c r="O277">
        <v>38130</v>
      </c>
      <c r="P277">
        <v>1143.9000000000001</v>
      </c>
      <c r="Q277">
        <v>36986.1</v>
      </c>
      <c r="R277">
        <v>5</v>
      </c>
    </row>
    <row r="278" spans="1:18">
      <c r="A278" t="s">
        <v>354</v>
      </c>
      <c r="B278" s="2">
        <v>45992</v>
      </c>
      <c r="C278" t="s">
        <v>29</v>
      </c>
      <c r="D278" t="s">
        <v>30</v>
      </c>
      <c r="E278" t="s">
        <v>42</v>
      </c>
      <c r="F278" t="s">
        <v>22</v>
      </c>
      <c r="G278" t="s">
        <v>43</v>
      </c>
      <c r="H278" t="s">
        <v>33</v>
      </c>
      <c r="I278">
        <v>3</v>
      </c>
      <c r="J278">
        <v>970</v>
      </c>
      <c r="K278">
        <v>0.03</v>
      </c>
      <c r="L278" t="s">
        <v>64</v>
      </c>
      <c r="M278" t="s">
        <v>66</v>
      </c>
      <c r="N278" t="s">
        <v>27</v>
      </c>
      <c r="O278">
        <v>2910</v>
      </c>
      <c r="P278">
        <v>87.3</v>
      </c>
      <c r="Q278">
        <v>2822.7</v>
      </c>
      <c r="R278">
        <v>3</v>
      </c>
    </row>
    <row r="279" spans="1:18">
      <c r="A279" t="s">
        <v>355</v>
      </c>
      <c r="B279" s="2">
        <v>45992</v>
      </c>
      <c r="C279" t="s">
        <v>40</v>
      </c>
      <c r="D279" t="s">
        <v>89</v>
      </c>
      <c r="E279" t="s">
        <v>21</v>
      </c>
      <c r="F279" t="s">
        <v>22</v>
      </c>
      <c r="G279" t="s">
        <v>152</v>
      </c>
      <c r="H279" t="s">
        <v>74</v>
      </c>
      <c r="I279">
        <v>3</v>
      </c>
      <c r="J279">
        <v>13900</v>
      </c>
      <c r="K279">
        <v>0.1</v>
      </c>
      <c r="L279" t="s">
        <v>25</v>
      </c>
      <c r="M279" t="s">
        <v>66</v>
      </c>
      <c r="N279" t="s">
        <v>27</v>
      </c>
      <c r="O279">
        <v>41700</v>
      </c>
      <c r="P279">
        <v>4170</v>
      </c>
      <c r="Q279">
        <v>37530</v>
      </c>
      <c r="R279">
        <v>3</v>
      </c>
    </row>
    <row r="280" spans="1:18">
      <c r="A280" t="s">
        <v>356</v>
      </c>
      <c r="B280" s="2">
        <v>45992</v>
      </c>
      <c r="C280" t="s">
        <v>40</v>
      </c>
      <c r="D280" t="s">
        <v>89</v>
      </c>
      <c r="E280" t="s">
        <v>42</v>
      </c>
      <c r="F280" t="s">
        <v>22</v>
      </c>
      <c r="G280" t="s">
        <v>92</v>
      </c>
      <c r="H280" t="s">
        <v>24</v>
      </c>
      <c r="I280">
        <v>2</v>
      </c>
      <c r="J280">
        <v>16780</v>
      </c>
      <c r="K280">
        <v>0.1</v>
      </c>
      <c r="L280" t="s">
        <v>64</v>
      </c>
      <c r="M280" t="s">
        <v>66</v>
      </c>
      <c r="N280" t="s">
        <v>27</v>
      </c>
      <c r="O280">
        <v>33560</v>
      </c>
      <c r="P280">
        <v>3356</v>
      </c>
      <c r="Q280">
        <v>30204</v>
      </c>
      <c r="R280">
        <v>3</v>
      </c>
    </row>
    <row r="281" spans="1:18">
      <c r="A281" t="s">
        <v>357</v>
      </c>
      <c r="B281" s="2">
        <v>45992</v>
      </c>
      <c r="C281" t="s">
        <v>40</v>
      </c>
      <c r="D281" t="s">
        <v>47</v>
      </c>
      <c r="E281" t="s">
        <v>21</v>
      </c>
      <c r="F281" t="s">
        <v>22</v>
      </c>
      <c r="G281" t="s">
        <v>23</v>
      </c>
      <c r="H281" t="s">
        <v>24</v>
      </c>
      <c r="I281">
        <v>1</v>
      </c>
      <c r="J281">
        <v>27170</v>
      </c>
      <c r="K281">
        <v>0.08</v>
      </c>
      <c r="L281" t="s">
        <v>68</v>
      </c>
      <c r="M281" t="s">
        <v>55</v>
      </c>
      <c r="N281" t="s">
        <v>45</v>
      </c>
      <c r="O281">
        <v>0</v>
      </c>
      <c r="P281">
        <v>0</v>
      </c>
      <c r="Q281">
        <v>0</v>
      </c>
    </row>
    <row r="282" spans="1:18">
      <c r="A282" t="s">
        <v>358</v>
      </c>
      <c r="B282" s="2">
        <v>45995</v>
      </c>
      <c r="C282" t="s">
        <v>19</v>
      </c>
      <c r="D282" t="s">
        <v>20</v>
      </c>
      <c r="E282" t="s">
        <v>42</v>
      </c>
      <c r="F282" t="s">
        <v>22</v>
      </c>
      <c r="G282" t="s">
        <v>62</v>
      </c>
      <c r="H282" t="s">
        <v>33</v>
      </c>
      <c r="I282">
        <v>3</v>
      </c>
      <c r="J282">
        <v>1770</v>
      </c>
      <c r="K282">
        <v>0.08</v>
      </c>
      <c r="L282" t="s">
        <v>68</v>
      </c>
      <c r="M282" t="s">
        <v>44</v>
      </c>
      <c r="N282" t="s">
        <v>27</v>
      </c>
      <c r="O282">
        <v>5310</v>
      </c>
      <c r="P282">
        <v>424.8</v>
      </c>
      <c r="Q282">
        <v>4885.2</v>
      </c>
      <c r="R282">
        <v>4</v>
      </c>
    </row>
    <row r="283" spans="1:18">
      <c r="A283" t="s">
        <v>359</v>
      </c>
      <c r="B283" s="2">
        <v>45995</v>
      </c>
      <c r="C283" t="s">
        <v>19</v>
      </c>
      <c r="D283" t="s">
        <v>52</v>
      </c>
      <c r="E283" t="s">
        <v>70</v>
      </c>
      <c r="F283" t="s">
        <v>53</v>
      </c>
      <c r="G283" t="s">
        <v>92</v>
      </c>
      <c r="H283" t="s">
        <v>24</v>
      </c>
      <c r="I283">
        <v>1</v>
      </c>
      <c r="J283">
        <v>16400</v>
      </c>
      <c r="K283">
        <v>0</v>
      </c>
      <c r="L283" t="s">
        <v>34</v>
      </c>
      <c r="M283" t="s">
        <v>50</v>
      </c>
      <c r="N283" t="s">
        <v>27</v>
      </c>
      <c r="O283">
        <v>16400</v>
      </c>
      <c r="P283">
        <v>0</v>
      </c>
      <c r="Q283">
        <v>16400</v>
      </c>
      <c r="R283">
        <v>2</v>
      </c>
    </row>
    <row r="284" spans="1:18">
      <c r="A284" t="s">
        <v>360</v>
      </c>
      <c r="B284" s="2">
        <v>45995</v>
      </c>
      <c r="C284" t="s">
        <v>29</v>
      </c>
      <c r="D284" t="s">
        <v>61</v>
      </c>
      <c r="E284" t="s">
        <v>42</v>
      </c>
      <c r="F284" t="s">
        <v>31</v>
      </c>
      <c r="G284" t="s">
        <v>152</v>
      </c>
      <c r="H284" t="s">
        <v>74</v>
      </c>
      <c r="I284">
        <v>2</v>
      </c>
      <c r="J284">
        <v>14960</v>
      </c>
      <c r="K284">
        <v>0.05</v>
      </c>
      <c r="L284" t="s">
        <v>68</v>
      </c>
      <c r="M284" t="s">
        <v>50</v>
      </c>
      <c r="N284" t="s">
        <v>27</v>
      </c>
      <c r="O284">
        <v>29920</v>
      </c>
      <c r="P284">
        <v>1496</v>
      </c>
      <c r="Q284">
        <v>28424</v>
      </c>
      <c r="R284">
        <v>3</v>
      </c>
    </row>
    <row r="285" spans="1:18">
      <c r="A285" t="s">
        <v>361</v>
      </c>
      <c r="B285" s="2">
        <v>45995</v>
      </c>
      <c r="C285" t="s">
        <v>82</v>
      </c>
      <c r="D285" t="s">
        <v>122</v>
      </c>
      <c r="E285" t="s">
        <v>42</v>
      </c>
      <c r="F285" t="s">
        <v>22</v>
      </c>
      <c r="G285" t="s">
        <v>95</v>
      </c>
      <c r="H285" t="s">
        <v>24</v>
      </c>
      <c r="I285">
        <v>3</v>
      </c>
      <c r="J285">
        <v>23350</v>
      </c>
      <c r="K285">
        <v>0.08</v>
      </c>
      <c r="L285" t="s">
        <v>25</v>
      </c>
      <c r="M285" t="s">
        <v>38</v>
      </c>
      <c r="N285" t="s">
        <v>27</v>
      </c>
      <c r="O285">
        <v>70050</v>
      </c>
      <c r="P285">
        <v>5604</v>
      </c>
      <c r="Q285">
        <v>64446</v>
      </c>
      <c r="R285">
        <v>4</v>
      </c>
    </row>
    <row r="286" spans="1:18">
      <c r="A286" t="s">
        <v>362</v>
      </c>
      <c r="B286" s="2">
        <v>45996</v>
      </c>
      <c r="C286" t="s">
        <v>40</v>
      </c>
      <c r="D286" t="s">
        <v>89</v>
      </c>
      <c r="E286" t="s">
        <v>70</v>
      </c>
      <c r="F286" t="s">
        <v>31</v>
      </c>
      <c r="G286" t="s">
        <v>23</v>
      </c>
      <c r="H286" t="s">
        <v>24</v>
      </c>
      <c r="I286">
        <v>3</v>
      </c>
      <c r="J286">
        <v>26730</v>
      </c>
      <c r="K286">
        <v>0</v>
      </c>
      <c r="L286" t="s">
        <v>34</v>
      </c>
      <c r="M286" t="s">
        <v>50</v>
      </c>
      <c r="N286" t="s">
        <v>27</v>
      </c>
      <c r="O286">
        <v>80190</v>
      </c>
      <c r="P286">
        <v>0</v>
      </c>
      <c r="Q286">
        <v>80190</v>
      </c>
      <c r="R286">
        <v>6</v>
      </c>
    </row>
    <row r="287" spans="1:18">
      <c r="A287" t="s">
        <v>363</v>
      </c>
      <c r="B287" s="2">
        <v>45997</v>
      </c>
      <c r="C287" t="s">
        <v>19</v>
      </c>
      <c r="D287" t="s">
        <v>20</v>
      </c>
      <c r="E287" t="s">
        <v>70</v>
      </c>
      <c r="F287" t="s">
        <v>22</v>
      </c>
      <c r="G287" t="s">
        <v>43</v>
      </c>
      <c r="H287" t="s">
        <v>33</v>
      </c>
      <c r="I287">
        <v>1</v>
      </c>
      <c r="J287">
        <v>970</v>
      </c>
      <c r="K287">
        <v>0.08</v>
      </c>
      <c r="L287" t="s">
        <v>34</v>
      </c>
      <c r="M287" t="s">
        <v>26</v>
      </c>
      <c r="N287" t="s">
        <v>27</v>
      </c>
      <c r="O287">
        <v>970</v>
      </c>
      <c r="P287">
        <v>77.599999999999994</v>
      </c>
      <c r="Q287">
        <v>892.4</v>
      </c>
      <c r="R287">
        <v>2</v>
      </c>
    </row>
    <row r="288" spans="1:18">
      <c r="A288" t="s">
        <v>364</v>
      </c>
      <c r="B288" s="2">
        <v>45998</v>
      </c>
      <c r="C288" t="s">
        <v>19</v>
      </c>
      <c r="D288" t="s">
        <v>20</v>
      </c>
      <c r="E288" t="s">
        <v>21</v>
      </c>
      <c r="F288" t="s">
        <v>22</v>
      </c>
      <c r="G288" t="s">
        <v>23</v>
      </c>
      <c r="H288" t="s">
        <v>24</v>
      </c>
      <c r="I288">
        <v>3</v>
      </c>
      <c r="J288">
        <v>28090</v>
      </c>
      <c r="K288">
        <v>0.05</v>
      </c>
      <c r="L288" t="s">
        <v>64</v>
      </c>
      <c r="M288" t="s">
        <v>55</v>
      </c>
      <c r="N288" t="s">
        <v>27</v>
      </c>
      <c r="O288">
        <v>84270</v>
      </c>
      <c r="P288">
        <v>4213.5</v>
      </c>
      <c r="Q288">
        <v>80056.5</v>
      </c>
      <c r="R288">
        <v>3</v>
      </c>
    </row>
    <row r="289" spans="1:18">
      <c r="A289" t="s">
        <v>365</v>
      </c>
      <c r="B289" s="2">
        <v>45998</v>
      </c>
      <c r="C289" t="s">
        <v>19</v>
      </c>
      <c r="D289" t="s">
        <v>52</v>
      </c>
      <c r="E289" t="s">
        <v>42</v>
      </c>
      <c r="F289" t="s">
        <v>31</v>
      </c>
      <c r="G289" t="s">
        <v>58</v>
      </c>
      <c r="H289" t="s">
        <v>59</v>
      </c>
      <c r="I289">
        <v>5</v>
      </c>
      <c r="J289">
        <v>7410</v>
      </c>
      <c r="K289">
        <v>0.03</v>
      </c>
      <c r="L289" t="s">
        <v>68</v>
      </c>
      <c r="M289" t="s">
        <v>26</v>
      </c>
      <c r="N289" t="s">
        <v>27</v>
      </c>
      <c r="O289">
        <v>37050</v>
      </c>
      <c r="P289">
        <v>1111.5</v>
      </c>
      <c r="Q289">
        <v>35938.5</v>
      </c>
      <c r="R289">
        <v>2</v>
      </c>
    </row>
    <row r="290" spans="1:18">
      <c r="A290" t="s">
        <v>366</v>
      </c>
      <c r="B290" s="2">
        <v>45998</v>
      </c>
      <c r="C290" t="s">
        <v>40</v>
      </c>
      <c r="D290" t="s">
        <v>47</v>
      </c>
      <c r="E290" t="s">
        <v>42</v>
      </c>
      <c r="F290" t="s">
        <v>22</v>
      </c>
      <c r="G290" t="s">
        <v>58</v>
      </c>
      <c r="H290" t="s">
        <v>59</v>
      </c>
      <c r="I290">
        <v>5</v>
      </c>
      <c r="J290">
        <v>6880</v>
      </c>
      <c r="K290">
        <v>0.1</v>
      </c>
      <c r="L290" t="s">
        <v>64</v>
      </c>
      <c r="M290" t="s">
        <v>55</v>
      </c>
      <c r="N290" t="s">
        <v>27</v>
      </c>
      <c r="O290">
        <v>34400</v>
      </c>
      <c r="P290">
        <v>3440</v>
      </c>
      <c r="Q290">
        <v>30960</v>
      </c>
      <c r="R290">
        <v>4</v>
      </c>
    </row>
    <row r="291" spans="1:18">
      <c r="A291" t="s">
        <v>367</v>
      </c>
      <c r="B291" s="2">
        <v>45999</v>
      </c>
      <c r="C291" t="s">
        <v>29</v>
      </c>
      <c r="D291" t="s">
        <v>78</v>
      </c>
      <c r="E291" t="s">
        <v>21</v>
      </c>
      <c r="F291" t="s">
        <v>53</v>
      </c>
      <c r="G291" t="s">
        <v>149</v>
      </c>
      <c r="H291" t="s">
        <v>33</v>
      </c>
      <c r="I291">
        <v>4</v>
      </c>
      <c r="J291">
        <v>3640</v>
      </c>
      <c r="K291">
        <v>0.03</v>
      </c>
      <c r="L291" t="s">
        <v>68</v>
      </c>
      <c r="M291" t="s">
        <v>26</v>
      </c>
      <c r="N291" t="s">
        <v>27</v>
      </c>
      <c r="O291">
        <v>14560</v>
      </c>
      <c r="P291">
        <v>436.8</v>
      </c>
      <c r="Q291">
        <v>14123.2</v>
      </c>
      <c r="R291">
        <v>2</v>
      </c>
    </row>
    <row r="292" spans="1:18">
      <c r="A292" t="s">
        <v>368</v>
      </c>
      <c r="B292" s="2">
        <v>45999</v>
      </c>
      <c r="C292" t="s">
        <v>29</v>
      </c>
      <c r="D292" t="s">
        <v>61</v>
      </c>
      <c r="E292" t="s">
        <v>70</v>
      </c>
      <c r="F292" t="s">
        <v>22</v>
      </c>
      <c r="G292" t="s">
        <v>73</v>
      </c>
      <c r="H292" t="s">
        <v>74</v>
      </c>
      <c r="I292">
        <v>3</v>
      </c>
      <c r="J292">
        <v>10730</v>
      </c>
      <c r="K292">
        <v>0.05</v>
      </c>
      <c r="L292" t="s">
        <v>64</v>
      </c>
      <c r="M292" t="s">
        <v>35</v>
      </c>
      <c r="N292" t="s">
        <v>27</v>
      </c>
      <c r="O292">
        <v>32190</v>
      </c>
      <c r="P292">
        <v>1609.5</v>
      </c>
      <c r="Q292">
        <v>30580.5</v>
      </c>
      <c r="R292">
        <v>1</v>
      </c>
    </row>
    <row r="293" spans="1:18">
      <c r="A293" t="s">
        <v>369</v>
      </c>
      <c r="B293" s="2">
        <v>45999</v>
      </c>
      <c r="C293" t="s">
        <v>19</v>
      </c>
      <c r="D293" t="s">
        <v>52</v>
      </c>
      <c r="E293" t="s">
        <v>21</v>
      </c>
      <c r="F293" t="s">
        <v>22</v>
      </c>
      <c r="G293" t="s">
        <v>73</v>
      </c>
      <c r="H293" t="s">
        <v>74</v>
      </c>
      <c r="I293">
        <v>4</v>
      </c>
      <c r="J293">
        <v>11750</v>
      </c>
      <c r="K293">
        <v>0</v>
      </c>
      <c r="L293" t="s">
        <v>64</v>
      </c>
      <c r="M293" t="s">
        <v>50</v>
      </c>
      <c r="N293" t="s">
        <v>27</v>
      </c>
      <c r="O293">
        <v>47000</v>
      </c>
      <c r="P293">
        <v>0</v>
      </c>
      <c r="Q293">
        <v>47000</v>
      </c>
      <c r="R293">
        <v>4</v>
      </c>
    </row>
    <row r="294" spans="1:18">
      <c r="A294" t="s">
        <v>370</v>
      </c>
      <c r="B294" s="2">
        <v>46001</v>
      </c>
      <c r="C294" t="s">
        <v>29</v>
      </c>
      <c r="D294" t="s">
        <v>78</v>
      </c>
      <c r="E294" t="s">
        <v>21</v>
      </c>
      <c r="F294" t="s">
        <v>22</v>
      </c>
      <c r="G294" t="s">
        <v>32</v>
      </c>
      <c r="H294" t="s">
        <v>33</v>
      </c>
      <c r="I294">
        <v>5</v>
      </c>
      <c r="J294">
        <v>2290</v>
      </c>
      <c r="K294">
        <v>0.1</v>
      </c>
      <c r="L294" t="s">
        <v>68</v>
      </c>
      <c r="M294" t="s">
        <v>26</v>
      </c>
      <c r="N294" t="s">
        <v>27</v>
      </c>
      <c r="O294">
        <v>11450</v>
      </c>
      <c r="P294">
        <v>1145</v>
      </c>
      <c r="Q294">
        <v>10305</v>
      </c>
      <c r="R294">
        <v>4</v>
      </c>
    </row>
    <row r="295" spans="1:18">
      <c r="A295" t="s">
        <v>371</v>
      </c>
      <c r="B295" s="2">
        <v>46001</v>
      </c>
      <c r="C295" t="s">
        <v>82</v>
      </c>
      <c r="D295" t="s">
        <v>122</v>
      </c>
      <c r="E295" t="s">
        <v>70</v>
      </c>
      <c r="F295" t="s">
        <v>31</v>
      </c>
      <c r="G295" t="s">
        <v>58</v>
      </c>
      <c r="H295" t="s">
        <v>59</v>
      </c>
      <c r="I295">
        <v>3</v>
      </c>
      <c r="J295">
        <v>7210</v>
      </c>
      <c r="K295">
        <v>0.03</v>
      </c>
      <c r="L295" t="s">
        <v>25</v>
      </c>
      <c r="M295" t="s">
        <v>26</v>
      </c>
      <c r="N295" t="s">
        <v>27</v>
      </c>
      <c r="O295">
        <v>21630</v>
      </c>
      <c r="P295">
        <v>648.9</v>
      </c>
      <c r="Q295">
        <v>20981.1</v>
      </c>
      <c r="R295">
        <v>6</v>
      </c>
    </row>
    <row r="296" spans="1:18">
      <c r="A296" t="s">
        <v>372</v>
      </c>
      <c r="B296" s="2">
        <v>46001</v>
      </c>
      <c r="C296" t="s">
        <v>19</v>
      </c>
      <c r="D296" t="s">
        <v>103</v>
      </c>
      <c r="E296" t="s">
        <v>42</v>
      </c>
      <c r="F296" t="s">
        <v>22</v>
      </c>
      <c r="G296" t="s">
        <v>73</v>
      </c>
      <c r="H296" t="s">
        <v>74</v>
      </c>
      <c r="I296">
        <v>2</v>
      </c>
      <c r="J296">
        <v>10860</v>
      </c>
      <c r="K296">
        <v>0.03</v>
      </c>
      <c r="L296" t="s">
        <v>34</v>
      </c>
      <c r="M296" t="s">
        <v>50</v>
      </c>
      <c r="N296" t="s">
        <v>27</v>
      </c>
      <c r="O296">
        <v>21720</v>
      </c>
      <c r="P296">
        <v>651.6</v>
      </c>
      <c r="Q296">
        <v>21068.400000000001</v>
      </c>
      <c r="R296">
        <v>3</v>
      </c>
    </row>
    <row r="297" spans="1:18">
      <c r="A297" t="s">
        <v>373</v>
      </c>
      <c r="B297" s="2">
        <v>46001</v>
      </c>
      <c r="C297" t="s">
        <v>29</v>
      </c>
      <c r="D297" t="s">
        <v>30</v>
      </c>
      <c r="E297" t="s">
        <v>70</v>
      </c>
      <c r="F297" t="s">
        <v>22</v>
      </c>
      <c r="G297" t="s">
        <v>58</v>
      </c>
      <c r="H297" t="s">
        <v>59</v>
      </c>
      <c r="I297">
        <v>1</v>
      </c>
      <c r="J297">
        <v>6720</v>
      </c>
      <c r="K297">
        <v>0.05</v>
      </c>
      <c r="L297" t="s">
        <v>34</v>
      </c>
      <c r="M297" t="s">
        <v>66</v>
      </c>
      <c r="N297" t="s">
        <v>27</v>
      </c>
      <c r="O297">
        <v>6720</v>
      </c>
      <c r="P297">
        <v>336</v>
      </c>
      <c r="Q297">
        <v>6384</v>
      </c>
      <c r="R297">
        <v>4</v>
      </c>
    </row>
    <row r="298" spans="1:18">
      <c r="A298" t="s">
        <v>374</v>
      </c>
      <c r="B298" s="2">
        <v>46002</v>
      </c>
      <c r="C298" t="s">
        <v>29</v>
      </c>
      <c r="D298" t="s">
        <v>78</v>
      </c>
      <c r="E298" t="s">
        <v>21</v>
      </c>
      <c r="F298" t="s">
        <v>31</v>
      </c>
      <c r="G298" t="s">
        <v>43</v>
      </c>
      <c r="H298" t="s">
        <v>33</v>
      </c>
      <c r="I298">
        <v>4</v>
      </c>
      <c r="J298">
        <v>950</v>
      </c>
      <c r="K298">
        <v>0.1</v>
      </c>
      <c r="L298" t="s">
        <v>25</v>
      </c>
      <c r="M298" t="s">
        <v>71</v>
      </c>
      <c r="N298" t="s">
        <v>27</v>
      </c>
      <c r="O298">
        <v>3800</v>
      </c>
      <c r="P298">
        <v>380</v>
      </c>
      <c r="Q298">
        <v>3420</v>
      </c>
      <c r="R298">
        <v>3</v>
      </c>
    </row>
    <row r="299" spans="1:18">
      <c r="A299" t="s">
        <v>375</v>
      </c>
      <c r="B299" s="2">
        <v>46004</v>
      </c>
      <c r="C299" t="s">
        <v>29</v>
      </c>
      <c r="D299" t="s">
        <v>61</v>
      </c>
      <c r="E299" t="s">
        <v>21</v>
      </c>
      <c r="F299" t="s">
        <v>31</v>
      </c>
      <c r="G299" t="s">
        <v>105</v>
      </c>
      <c r="H299" t="s">
        <v>24</v>
      </c>
      <c r="I299">
        <v>1</v>
      </c>
      <c r="J299">
        <v>3350</v>
      </c>
      <c r="K299">
        <v>0.03</v>
      </c>
      <c r="L299" t="s">
        <v>64</v>
      </c>
      <c r="M299" t="s">
        <v>71</v>
      </c>
      <c r="N299" t="s">
        <v>27</v>
      </c>
      <c r="O299">
        <v>3350</v>
      </c>
      <c r="P299">
        <v>100.5</v>
      </c>
      <c r="Q299">
        <v>3249.5</v>
      </c>
      <c r="R299">
        <v>2</v>
      </c>
    </row>
    <row r="300" spans="1:18">
      <c r="A300" t="s">
        <v>376</v>
      </c>
      <c r="B300" s="2">
        <v>46004</v>
      </c>
      <c r="C300" t="s">
        <v>40</v>
      </c>
      <c r="D300" t="s">
        <v>115</v>
      </c>
      <c r="E300" t="s">
        <v>21</v>
      </c>
      <c r="F300" t="s">
        <v>31</v>
      </c>
      <c r="G300" t="s">
        <v>105</v>
      </c>
      <c r="H300" t="s">
        <v>24</v>
      </c>
      <c r="I300">
        <v>3</v>
      </c>
      <c r="J300">
        <v>3070</v>
      </c>
      <c r="K300">
        <v>0.15</v>
      </c>
      <c r="L300" t="s">
        <v>64</v>
      </c>
      <c r="M300" t="s">
        <v>50</v>
      </c>
      <c r="N300" t="s">
        <v>27</v>
      </c>
      <c r="O300">
        <v>9210</v>
      </c>
      <c r="P300">
        <v>1381.5</v>
      </c>
      <c r="Q300">
        <v>7828.5</v>
      </c>
      <c r="R300">
        <v>1</v>
      </c>
    </row>
    <row r="301" spans="1:18">
      <c r="A301" t="s">
        <v>377</v>
      </c>
      <c r="B301" s="2">
        <v>46005</v>
      </c>
      <c r="C301" t="s">
        <v>40</v>
      </c>
      <c r="D301" t="s">
        <v>115</v>
      </c>
      <c r="E301" t="s">
        <v>42</v>
      </c>
      <c r="F301" t="s">
        <v>22</v>
      </c>
      <c r="G301" t="s">
        <v>152</v>
      </c>
      <c r="H301" t="s">
        <v>74</v>
      </c>
      <c r="I301">
        <v>3</v>
      </c>
      <c r="J301">
        <v>14370</v>
      </c>
      <c r="K301">
        <v>0</v>
      </c>
      <c r="L301" t="s">
        <v>54</v>
      </c>
      <c r="M301" t="s">
        <v>38</v>
      </c>
      <c r="N301" t="s">
        <v>27</v>
      </c>
      <c r="O301">
        <v>43110</v>
      </c>
      <c r="P301">
        <v>0</v>
      </c>
      <c r="Q301">
        <v>43110</v>
      </c>
      <c r="R301">
        <v>4</v>
      </c>
    </row>
    <row r="302" spans="1:18">
      <c r="A302" t="s">
        <v>378</v>
      </c>
      <c r="B302" s="2">
        <v>46006</v>
      </c>
      <c r="C302" t="s">
        <v>19</v>
      </c>
      <c r="D302" t="s">
        <v>103</v>
      </c>
      <c r="E302" t="s">
        <v>42</v>
      </c>
      <c r="F302" t="s">
        <v>22</v>
      </c>
      <c r="G302" t="s">
        <v>23</v>
      </c>
      <c r="H302" t="s">
        <v>24</v>
      </c>
      <c r="I302">
        <v>4</v>
      </c>
      <c r="J302">
        <v>27120</v>
      </c>
      <c r="K302">
        <v>0</v>
      </c>
      <c r="L302" t="s">
        <v>64</v>
      </c>
      <c r="M302" t="s">
        <v>38</v>
      </c>
      <c r="N302" t="s">
        <v>27</v>
      </c>
      <c r="O302">
        <v>108480</v>
      </c>
      <c r="P302">
        <v>0</v>
      </c>
      <c r="Q302">
        <v>108480</v>
      </c>
      <c r="R302">
        <v>2</v>
      </c>
    </row>
    <row r="303" spans="1:18">
      <c r="A303" t="s">
        <v>379</v>
      </c>
      <c r="B303" s="2">
        <v>46007</v>
      </c>
      <c r="C303" t="s">
        <v>40</v>
      </c>
      <c r="D303" t="s">
        <v>115</v>
      </c>
      <c r="E303" t="s">
        <v>21</v>
      </c>
      <c r="F303" t="s">
        <v>22</v>
      </c>
      <c r="G303" t="s">
        <v>105</v>
      </c>
      <c r="H303" t="s">
        <v>24</v>
      </c>
      <c r="I303">
        <v>2</v>
      </c>
      <c r="J303">
        <v>3320</v>
      </c>
      <c r="K303">
        <v>0</v>
      </c>
      <c r="L303" t="s">
        <v>25</v>
      </c>
      <c r="M303" t="s">
        <v>71</v>
      </c>
      <c r="N303" t="s">
        <v>27</v>
      </c>
      <c r="O303">
        <v>6640</v>
      </c>
      <c r="P303">
        <v>0</v>
      </c>
      <c r="Q303">
        <v>6640</v>
      </c>
      <c r="R303">
        <v>2</v>
      </c>
    </row>
    <row r="304" spans="1:18">
      <c r="A304" t="s">
        <v>380</v>
      </c>
      <c r="B304" s="2">
        <v>46007</v>
      </c>
      <c r="C304" t="s">
        <v>40</v>
      </c>
      <c r="D304" t="s">
        <v>89</v>
      </c>
      <c r="E304" t="s">
        <v>42</v>
      </c>
      <c r="F304" t="s">
        <v>22</v>
      </c>
      <c r="G304" t="s">
        <v>105</v>
      </c>
      <c r="H304" t="s">
        <v>24</v>
      </c>
      <c r="I304">
        <v>1</v>
      </c>
      <c r="J304">
        <v>3200</v>
      </c>
      <c r="K304">
        <v>0.05</v>
      </c>
      <c r="L304" t="s">
        <v>25</v>
      </c>
      <c r="M304" t="s">
        <v>66</v>
      </c>
      <c r="N304" t="s">
        <v>27</v>
      </c>
      <c r="O304">
        <v>3200</v>
      </c>
      <c r="P304">
        <v>160</v>
      </c>
      <c r="Q304">
        <v>3040</v>
      </c>
      <c r="R304">
        <v>6</v>
      </c>
    </row>
    <row r="305" spans="1:18">
      <c r="A305" t="s">
        <v>381</v>
      </c>
      <c r="B305" s="2">
        <v>46007</v>
      </c>
      <c r="C305" t="s">
        <v>40</v>
      </c>
      <c r="D305" t="s">
        <v>89</v>
      </c>
      <c r="E305" t="s">
        <v>42</v>
      </c>
      <c r="F305" t="s">
        <v>22</v>
      </c>
      <c r="G305" t="s">
        <v>92</v>
      </c>
      <c r="H305" t="s">
        <v>24</v>
      </c>
      <c r="I305">
        <v>1</v>
      </c>
      <c r="J305">
        <v>16080</v>
      </c>
      <c r="K305">
        <v>0</v>
      </c>
      <c r="L305" t="s">
        <v>64</v>
      </c>
      <c r="M305" t="s">
        <v>26</v>
      </c>
      <c r="N305" t="s">
        <v>27</v>
      </c>
      <c r="O305">
        <v>16080</v>
      </c>
      <c r="P305">
        <v>0</v>
      </c>
      <c r="Q305">
        <v>16080</v>
      </c>
      <c r="R305">
        <v>1</v>
      </c>
    </row>
    <row r="306" spans="1:18">
      <c r="A306" t="s">
        <v>382</v>
      </c>
      <c r="B306" s="2">
        <v>46007</v>
      </c>
      <c r="C306" t="s">
        <v>29</v>
      </c>
      <c r="D306" t="s">
        <v>78</v>
      </c>
      <c r="E306" t="s">
        <v>70</v>
      </c>
      <c r="F306" t="s">
        <v>53</v>
      </c>
      <c r="G306" t="s">
        <v>152</v>
      </c>
      <c r="H306" t="s">
        <v>74</v>
      </c>
      <c r="I306">
        <v>3</v>
      </c>
      <c r="J306">
        <v>14990</v>
      </c>
      <c r="K306">
        <v>0.08</v>
      </c>
      <c r="L306" t="s">
        <v>25</v>
      </c>
      <c r="M306" t="s">
        <v>50</v>
      </c>
      <c r="N306" t="s">
        <v>27</v>
      </c>
      <c r="O306">
        <v>44970</v>
      </c>
      <c r="P306">
        <v>3597.6</v>
      </c>
      <c r="Q306">
        <v>41372.400000000001</v>
      </c>
      <c r="R306">
        <v>4</v>
      </c>
    </row>
    <row r="307" spans="1:18">
      <c r="A307" t="s">
        <v>383</v>
      </c>
      <c r="B307" s="2">
        <v>46008</v>
      </c>
      <c r="C307" t="s">
        <v>82</v>
      </c>
      <c r="D307" t="s">
        <v>178</v>
      </c>
      <c r="E307" t="s">
        <v>21</v>
      </c>
      <c r="F307" t="s">
        <v>53</v>
      </c>
      <c r="G307" t="s">
        <v>62</v>
      </c>
      <c r="H307" t="s">
        <v>33</v>
      </c>
      <c r="I307">
        <v>3</v>
      </c>
      <c r="J307">
        <v>1860</v>
      </c>
      <c r="K307">
        <v>0.05</v>
      </c>
      <c r="L307" t="s">
        <v>34</v>
      </c>
      <c r="M307" t="s">
        <v>38</v>
      </c>
      <c r="N307" t="s">
        <v>27</v>
      </c>
      <c r="O307">
        <v>5580</v>
      </c>
      <c r="P307">
        <v>279</v>
      </c>
      <c r="Q307">
        <v>5301</v>
      </c>
      <c r="R307">
        <v>4</v>
      </c>
    </row>
    <row r="308" spans="1:18">
      <c r="A308" t="s">
        <v>384</v>
      </c>
      <c r="B308" s="2">
        <v>46009</v>
      </c>
      <c r="C308" t="s">
        <v>19</v>
      </c>
      <c r="D308" t="s">
        <v>103</v>
      </c>
      <c r="E308" t="s">
        <v>21</v>
      </c>
      <c r="F308" t="s">
        <v>31</v>
      </c>
      <c r="G308" t="s">
        <v>58</v>
      </c>
      <c r="H308" t="s">
        <v>59</v>
      </c>
      <c r="I308">
        <v>1</v>
      </c>
      <c r="J308">
        <v>7480</v>
      </c>
      <c r="K308">
        <v>0.08</v>
      </c>
      <c r="L308" t="s">
        <v>54</v>
      </c>
      <c r="M308" t="s">
        <v>66</v>
      </c>
      <c r="N308" t="s">
        <v>130</v>
      </c>
      <c r="O308">
        <v>7480</v>
      </c>
      <c r="P308">
        <v>598.4</v>
      </c>
      <c r="Q308">
        <v>6881.6</v>
      </c>
      <c r="R308">
        <v>4</v>
      </c>
    </row>
    <row r="309" spans="1:18">
      <c r="A309" t="s">
        <v>385</v>
      </c>
      <c r="B309" s="2">
        <v>46009</v>
      </c>
      <c r="C309" t="s">
        <v>29</v>
      </c>
      <c r="D309" t="s">
        <v>30</v>
      </c>
      <c r="E309" t="s">
        <v>21</v>
      </c>
      <c r="F309" t="s">
        <v>53</v>
      </c>
      <c r="G309" t="s">
        <v>62</v>
      </c>
      <c r="H309" t="s">
        <v>33</v>
      </c>
      <c r="I309">
        <v>4</v>
      </c>
      <c r="J309">
        <v>1750</v>
      </c>
      <c r="K309">
        <v>0.1</v>
      </c>
      <c r="L309" t="s">
        <v>68</v>
      </c>
      <c r="M309" t="s">
        <v>50</v>
      </c>
      <c r="N309" t="s">
        <v>27</v>
      </c>
      <c r="O309">
        <v>7000</v>
      </c>
      <c r="P309">
        <v>700</v>
      </c>
      <c r="Q309">
        <v>6300</v>
      </c>
      <c r="R309">
        <v>5</v>
      </c>
    </row>
    <row r="310" spans="1:18">
      <c r="A310" t="s">
        <v>386</v>
      </c>
      <c r="B310" s="2">
        <v>46010</v>
      </c>
      <c r="C310" t="s">
        <v>29</v>
      </c>
      <c r="D310" t="s">
        <v>85</v>
      </c>
      <c r="E310" t="s">
        <v>42</v>
      </c>
      <c r="F310" t="s">
        <v>22</v>
      </c>
      <c r="G310" t="s">
        <v>37</v>
      </c>
      <c r="H310" t="s">
        <v>24</v>
      </c>
      <c r="I310">
        <v>2</v>
      </c>
      <c r="J310">
        <v>62470</v>
      </c>
      <c r="K310">
        <v>0.15</v>
      </c>
      <c r="L310" t="s">
        <v>54</v>
      </c>
      <c r="M310" t="s">
        <v>26</v>
      </c>
      <c r="N310" t="s">
        <v>27</v>
      </c>
      <c r="O310">
        <v>124940</v>
      </c>
      <c r="P310">
        <v>18741</v>
      </c>
      <c r="Q310">
        <v>106199</v>
      </c>
      <c r="R310">
        <v>5</v>
      </c>
    </row>
    <row r="311" spans="1:18">
      <c r="A311" t="s">
        <v>387</v>
      </c>
      <c r="B311" s="2">
        <v>46010</v>
      </c>
      <c r="C311" t="s">
        <v>29</v>
      </c>
      <c r="D311" t="s">
        <v>85</v>
      </c>
      <c r="E311" t="s">
        <v>21</v>
      </c>
      <c r="F311" t="s">
        <v>22</v>
      </c>
      <c r="G311" t="s">
        <v>105</v>
      </c>
      <c r="H311" t="s">
        <v>24</v>
      </c>
      <c r="I311">
        <v>4</v>
      </c>
      <c r="J311">
        <v>3340</v>
      </c>
      <c r="K311">
        <v>0.05</v>
      </c>
      <c r="L311" t="s">
        <v>64</v>
      </c>
      <c r="M311" t="s">
        <v>26</v>
      </c>
      <c r="N311" t="s">
        <v>27</v>
      </c>
      <c r="O311">
        <v>13360</v>
      </c>
      <c r="P311">
        <v>668</v>
      </c>
      <c r="Q311">
        <v>12692</v>
      </c>
      <c r="R311">
        <v>1</v>
      </c>
    </row>
    <row r="312" spans="1:18">
      <c r="A312" t="s">
        <v>388</v>
      </c>
      <c r="B312" s="2">
        <v>46010</v>
      </c>
      <c r="C312" t="s">
        <v>40</v>
      </c>
      <c r="D312" t="s">
        <v>89</v>
      </c>
      <c r="E312" t="s">
        <v>70</v>
      </c>
      <c r="F312" t="s">
        <v>31</v>
      </c>
      <c r="G312" t="s">
        <v>37</v>
      </c>
      <c r="H312" t="s">
        <v>24</v>
      </c>
      <c r="I312">
        <v>3</v>
      </c>
      <c r="J312">
        <v>65000</v>
      </c>
      <c r="K312">
        <v>0.08</v>
      </c>
      <c r="L312" t="s">
        <v>68</v>
      </c>
      <c r="M312" t="s">
        <v>66</v>
      </c>
      <c r="N312" t="s">
        <v>27</v>
      </c>
      <c r="O312">
        <v>195000</v>
      </c>
      <c r="P312">
        <v>15600</v>
      </c>
      <c r="Q312">
        <v>179400</v>
      </c>
      <c r="R312">
        <v>3</v>
      </c>
    </row>
    <row r="313" spans="1:18">
      <c r="A313" t="s">
        <v>389</v>
      </c>
      <c r="B313" s="2">
        <v>46010</v>
      </c>
      <c r="C313" t="s">
        <v>40</v>
      </c>
      <c r="D313" t="s">
        <v>115</v>
      </c>
      <c r="E313" t="s">
        <v>21</v>
      </c>
      <c r="F313" t="s">
        <v>31</v>
      </c>
      <c r="G313" t="s">
        <v>152</v>
      </c>
      <c r="H313" t="s">
        <v>74</v>
      </c>
      <c r="I313">
        <v>1</v>
      </c>
      <c r="J313">
        <v>14730</v>
      </c>
      <c r="K313">
        <v>0.05</v>
      </c>
      <c r="L313" t="s">
        <v>64</v>
      </c>
      <c r="M313" t="s">
        <v>44</v>
      </c>
      <c r="N313" t="s">
        <v>45</v>
      </c>
      <c r="O313">
        <v>0</v>
      </c>
      <c r="P313">
        <v>0</v>
      </c>
      <c r="Q313">
        <v>0</v>
      </c>
    </row>
    <row r="314" spans="1:18">
      <c r="A314" t="s">
        <v>390</v>
      </c>
      <c r="B314" s="2">
        <v>46013</v>
      </c>
      <c r="C314" t="s">
        <v>29</v>
      </c>
      <c r="D314" t="s">
        <v>30</v>
      </c>
      <c r="E314" t="s">
        <v>21</v>
      </c>
      <c r="F314" t="s">
        <v>22</v>
      </c>
      <c r="G314" t="s">
        <v>62</v>
      </c>
      <c r="H314" t="s">
        <v>33</v>
      </c>
      <c r="I314">
        <v>3</v>
      </c>
      <c r="J314">
        <v>1750</v>
      </c>
      <c r="K314">
        <v>0</v>
      </c>
      <c r="L314" t="s">
        <v>68</v>
      </c>
      <c r="M314" t="s">
        <v>44</v>
      </c>
      <c r="N314" t="s">
        <v>27</v>
      </c>
      <c r="O314">
        <v>5250</v>
      </c>
      <c r="P314">
        <v>0</v>
      </c>
      <c r="Q314">
        <v>5250</v>
      </c>
      <c r="R314">
        <v>2</v>
      </c>
    </row>
    <row r="315" spans="1:18">
      <c r="A315" t="s">
        <v>391</v>
      </c>
      <c r="B315" s="2">
        <v>46013</v>
      </c>
      <c r="C315" t="s">
        <v>29</v>
      </c>
      <c r="D315" t="s">
        <v>30</v>
      </c>
      <c r="E315" t="s">
        <v>42</v>
      </c>
      <c r="F315" t="s">
        <v>22</v>
      </c>
      <c r="G315" t="s">
        <v>37</v>
      </c>
      <c r="H315" t="s">
        <v>24</v>
      </c>
      <c r="I315">
        <v>2</v>
      </c>
      <c r="J315">
        <v>63960</v>
      </c>
      <c r="K315">
        <v>0</v>
      </c>
      <c r="L315" t="s">
        <v>68</v>
      </c>
      <c r="M315" t="s">
        <v>66</v>
      </c>
      <c r="N315" t="s">
        <v>27</v>
      </c>
      <c r="O315">
        <v>127920</v>
      </c>
      <c r="P315">
        <v>0</v>
      </c>
      <c r="Q315">
        <v>127920</v>
      </c>
      <c r="R315">
        <v>3</v>
      </c>
    </row>
    <row r="316" spans="1:18">
      <c r="A316" t="s">
        <v>392</v>
      </c>
      <c r="B316" s="2">
        <v>46014</v>
      </c>
      <c r="C316" t="s">
        <v>40</v>
      </c>
      <c r="D316" t="s">
        <v>47</v>
      </c>
      <c r="E316" t="s">
        <v>42</v>
      </c>
      <c r="F316" t="s">
        <v>22</v>
      </c>
      <c r="G316" t="s">
        <v>105</v>
      </c>
      <c r="H316" t="s">
        <v>24</v>
      </c>
      <c r="I316">
        <v>5</v>
      </c>
      <c r="J316">
        <v>3330</v>
      </c>
      <c r="K316">
        <v>0.05</v>
      </c>
      <c r="L316" t="s">
        <v>34</v>
      </c>
      <c r="M316" t="s">
        <v>44</v>
      </c>
      <c r="N316" t="s">
        <v>27</v>
      </c>
      <c r="O316">
        <v>16650</v>
      </c>
      <c r="P316">
        <v>832.5</v>
      </c>
      <c r="Q316">
        <v>15817.5</v>
      </c>
      <c r="R316">
        <v>6</v>
      </c>
    </row>
    <row r="317" spans="1:18">
      <c r="A317" t="s">
        <v>393</v>
      </c>
      <c r="B317" s="2">
        <v>46017</v>
      </c>
      <c r="C317" t="s">
        <v>82</v>
      </c>
      <c r="D317" t="s">
        <v>178</v>
      </c>
      <c r="E317" t="s">
        <v>21</v>
      </c>
      <c r="F317" t="s">
        <v>22</v>
      </c>
      <c r="G317" t="s">
        <v>37</v>
      </c>
      <c r="H317" t="s">
        <v>24</v>
      </c>
      <c r="I317">
        <v>1</v>
      </c>
      <c r="J317">
        <v>65190</v>
      </c>
      <c r="K317">
        <v>0</v>
      </c>
      <c r="L317" t="s">
        <v>54</v>
      </c>
      <c r="M317" t="s">
        <v>50</v>
      </c>
      <c r="N317" t="s">
        <v>27</v>
      </c>
      <c r="O317">
        <v>65190</v>
      </c>
      <c r="P317">
        <v>0</v>
      </c>
      <c r="Q317">
        <v>65190</v>
      </c>
      <c r="R317">
        <v>3</v>
      </c>
    </row>
    <row r="318" spans="1:18">
      <c r="A318" t="s">
        <v>394</v>
      </c>
      <c r="B318" s="2">
        <v>46017</v>
      </c>
      <c r="C318" t="s">
        <v>40</v>
      </c>
      <c r="D318" t="s">
        <v>41</v>
      </c>
      <c r="E318" t="s">
        <v>42</v>
      </c>
      <c r="F318" t="s">
        <v>31</v>
      </c>
      <c r="G318" t="s">
        <v>32</v>
      </c>
      <c r="H318" t="s">
        <v>33</v>
      </c>
      <c r="I318">
        <v>2</v>
      </c>
      <c r="J318">
        <v>2450</v>
      </c>
      <c r="K318">
        <v>0.03</v>
      </c>
      <c r="L318" t="s">
        <v>68</v>
      </c>
      <c r="M318" t="s">
        <v>50</v>
      </c>
      <c r="N318" t="s">
        <v>27</v>
      </c>
      <c r="O318">
        <v>4900</v>
      </c>
      <c r="P318">
        <v>147</v>
      </c>
      <c r="Q318">
        <v>4753</v>
      </c>
      <c r="R318">
        <v>3</v>
      </c>
    </row>
    <row r="319" spans="1:18">
      <c r="A319" t="s">
        <v>395</v>
      </c>
      <c r="B319" s="2">
        <v>46017</v>
      </c>
      <c r="C319" t="s">
        <v>40</v>
      </c>
      <c r="D319" t="s">
        <v>89</v>
      </c>
      <c r="E319" t="s">
        <v>42</v>
      </c>
      <c r="F319" t="s">
        <v>22</v>
      </c>
      <c r="G319" t="s">
        <v>43</v>
      </c>
      <c r="H319" t="s">
        <v>33</v>
      </c>
      <c r="I319">
        <v>1</v>
      </c>
      <c r="J319">
        <v>900</v>
      </c>
      <c r="K319">
        <v>0.05</v>
      </c>
      <c r="L319" t="s">
        <v>34</v>
      </c>
      <c r="M319" t="s">
        <v>26</v>
      </c>
      <c r="N319" t="s">
        <v>27</v>
      </c>
      <c r="O319">
        <v>900</v>
      </c>
      <c r="P319">
        <v>45</v>
      </c>
      <c r="Q319">
        <v>855</v>
      </c>
      <c r="R319">
        <v>3</v>
      </c>
    </row>
    <row r="320" spans="1:18">
      <c r="A320" t="s">
        <v>396</v>
      </c>
      <c r="B320" s="2">
        <v>46017</v>
      </c>
      <c r="C320" t="s">
        <v>40</v>
      </c>
      <c r="D320" t="s">
        <v>89</v>
      </c>
      <c r="E320" t="s">
        <v>21</v>
      </c>
      <c r="F320" t="s">
        <v>22</v>
      </c>
      <c r="G320" t="s">
        <v>105</v>
      </c>
      <c r="H320" t="s">
        <v>24</v>
      </c>
      <c r="I320">
        <v>3</v>
      </c>
      <c r="J320">
        <v>3360</v>
      </c>
      <c r="K320">
        <v>0.05</v>
      </c>
      <c r="L320" t="s">
        <v>64</v>
      </c>
      <c r="M320" t="s">
        <v>35</v>
      </c>
      <c r="N320" t="s">
        <v>27</v>
      </c>
      <c r="O320">
        <v>10080</v>
      </c>
      <c r="P320">
        <v>504</v>
      </c>
      <c r="Q320">
        <v>9576</v>
      </c>
      <c r="R320">
        <v>3</v>
      </c>
    </row>
    <row r="321" spans="1:18">
      <c r="A321" t="s">
        <v>397</v>
      </c>
      <c r="B321" s="2">
        <v>46018</v>
      </c>
      <c r="C321" t="s">
        <v>19</v>
      </c>
      <c r="D321" t="s">
        <v>57</v>
      </c>
      <c r="E321" t="s">
        <v>21</v>
      </c>
      <c r="F321" t="s">
        <v>22</v>
      </c>
      <c r="G321" t="s">
        <v>43</v>
      </c>
      <c r="H321" t="s">
        <v>33</v>
      </c>
      <c r="I321">
        <v>1</v>
      </c>
      <c r="J321">
        <v>960</v>
      </c>
      <c r="K321">
        <v>0.08</v>
      </c>
      <c r="L321" t="s">
        <v>25</v>
      </c>
      <c r="M321" t="s">
        <v>35</v>
      </c>
      <c r="N321" t="s">
        <v>27</v>
      </c>
      <c r="O321">
        <v>960</v>
      </c>
      <c r="P321">
        <v>76.8</v>
      </c>
      <c r="Q321">
        <v>883.2</v>
      </c>
      <c r="R321">
        <v>3</v>
      </c>
    </row>
    <row r="322" spans="1:18">
      <c r="A322" t="s">
        <v>398</v>
      </c>
      <c r="B322" s="2">
        <v>46018</v>
      </c>
      <c r="C322" t="s">
        <v>29</v>
      </c>
      <c r="D322" t="s">
        <v>85</v>
      </c>
      <c r="E322" t="s">
        <v>21</v>
      </c>
      <c r="F322" t="s">
        <v>31</v>
      </c>
      <c r="G322" t="s">
        <v>95</v>
      </c>
      <c r="H322" t="s">
        <v>24</v>
      </c>
      <c r="I322">
        <v>5</v>
      </c>
      <c r="J322">
        <v>21830</v>
      </c>
      <c r="K322">
        <v>0</v>
      </c>
      <c r="L322" t="s">
        <v>68</v>
      </c>
      <c r="M322" t="s">
        <v>26</v>
      </c>
      <c r="N322" t="s">
        <v>27</v>
      </c>
      <c r="O322">
        <v>109150</v>
      </c>
      <c r="P322">
        <v>0</v>
      </c>
      <c r="Q322">
        <v>109150</v>
      </c>
      <c r="R322">
        <v>1</v>
      </c>
    </row>
    <row r="323" spans="1:18">
      <c r="A323" t="s">
        <v>399</v>
      </c>
      <c r="B323" s="2">
        <v>46019</v>
      </c>
      <c r="C323" t="s">
        <v>40</v>
      </c>
      <c r="D323" t="s">
        <v>41</v>
      </c>
      <c r="E323" t="s">
        <v>42</v>
      </c>
      <c r="F323" t="s">
        <v>22</v>
      </c>
      <c r="G323" t="s">
        <v>95</v>
      </c>
      <c r="H323" t="s">
        <v>24</v>
      </c>
      <c r="I323">
        <v>1</v>
      </c>
      <c r="J323">
        <v>21880</v>
      </c>
      <c r="K323">
        <v>0</v>
      </c>
      <c r="L323" t="s">
        <v>68</v>
      </c>
      <c r="M323" t="s">
        <v>26</v>
      </c>
      <c r="N323" t="s">
        <v>27</v>
      </c>
      <c r="O323">
        <v>21880</v>
      </c>
      <c r="P323">
        <v>0</v>
      </c>
      <c r="Q323">
        <v>21880</v>
      </c>
      <c r="R323">
        <v>4</v>
      </c>
    </row>
    <row r="324" spans="1:18">
      <c r="A324" t="s">
        <v>400</v>
      </c>
      <c r="B324" s="2">
        <v>46021</v>
      </c>
      <c r="C324" t="s">
        <v>40</v>
      </c>
      <c r="D324" t="s">
        <v>41</v>
      </c>
      <c r="E324" t="s">
        <v>21</v>
      </c>
      <c r="F324" t="s">
        <v>53</v>
      </c>
      <c r="G324" t="s">
        <v>37</v>
      </c>
      <c r="H324" t="s">
        <v>24</v>
      </c>
      <c r="I324">
        <v>2</v>
      </c>
      <c r="J324">
        <v>62040</v>
      </c>
      <c r="K324">
        <v>0</v>
      </c>
      <c r="L324" t="s">
        <v>54</v>
      </c>
      <c r="M324" t="s">
        <v>66</v>
      </c>
      <c r="N324" t="s">
        <v>27</v>
      </c>
      <c r="O324">
        <v>124080</v>
      </c>
      <c r="P324">
        <v>0</v>
      </c>
      <c r="Q324">
        <v>124080</v>
      </c>
      <c r="R324">
        <v>3</v>
      </c>
    </row>
    <row r="325" spans="1:18">
      <c r="A325" t="s">
        <v>401</v>
      </c>
      <c r="B325" s="2">
        <v>46021</v>
      </c>
      <c r="C325" t="s">
        <v>29</v>
      </c>
      <c r="D325" t="s">
        <v>61</v>
      </c>
      <c r="E325" t="s">
        <v>21</v>
      </c>
      <c r="F325" t="s">
        <v>22</v>
      </c>
      <c r="G325" t="s">
        <v>92</v>
      </c>
      <c r="H325" t="s">
        <v>24</v>
      </c>
      <c r="I325">
        <v>2</v>
      </c>
      <c r="J325">
        <v>17310</v>
      </c>
      <c r="K325">
        <v>0.05</v>
      </c>
      <c r="L325" t="s">
        <v>68</v>
      </c>
      <c r="M325" t="s">
        <v>26</v>
      </c>
      <c r="N325" t="s">
        <v>27</v>
      </c>
      <c r="O325">
        <v>34620</v>
      </c>
      <c r="P325">
        <v>1731</v>
      </c>
      <c r="Q325">
        <v>32889</v>
      </c>
      <c r="R325">
        <v>3</v>
      </c>
    </row>
    <row r="326" spans="1:18">
      <c r="A326" t="s">
        <v>402</v>
      </c>
      <c r="B326" s="2">
        <v>46022</v>
      </c>
      <c r="C326" t="s">
        <v>29</v>
      </c>
      <c r="D326" t="s">
        <v>85</v>
      </c>
      <c r="E326" t="s">
        <v>21</v>
      </c>
      <c r="F326" t="s">
        <v>31</v>
      </c>
      <c r="G326" t="s">
        <v>62</v>
      </c>
      <c r="H326" t="s">
        <v>33</v>
      </c>
      <c r="I326">
        <v>2</v>
      </c>
      <c r="J326">
        <v>1710</v>
      </c>
      <c r="K326">
        <v>0.08</v>
      </c>
      <c r="L326" t="s">
        <v>68</v>
      </c>
      <c r="M326" t="s">
        <v>50</v>
      </c>
      <c r="N326" t="s">
        <v>27</v>
      </c>
      <c r="O326">
        <v>3420</v>
      </c>
      <c r="P326">
        <v>273.60000000000002</v>
      </c>
      <c r="Q326">
        <v>3146.4</v>
      </c>
      <c r="R326">
        <v>1</v>
      </c>
    </row>
    <row r="327" spans="1:18">
      <c r="A327" t="s">
        <v>403</v>
      </c>
      <c r="B327" s="2">
        <v>46022</v>
      </c>
      <c r="C327" t="s">
        <v>29</v>
      </c>
      <c r="D327" t="s">
        <v>30</v>
      </c>
      <c r="E327" t="s">
        <v>42</v>
      </c>
      <c r="F327" t="s">
        <v>22</v>
      </c>
      <c r="G327" t="s">
        <v>105</v>
      </c>
      <c r="H327" t="s">
        <v>24</v>
      </c>
      <c r="I327">
        <v>3</v>
      </c>
      <c r="J327">
        <v>3290</v>
      </c>
      <c r="K327">
        <v>0.1</v>
      </c>
      <c r="L327" t="s">
        <v>25</v>
      </c>
      <c r="M327" t="s">
        <v>50</v>
      </c>
      <c r="N327" t="s">
        <v>27</v>
      </c>
      <c r="O327">
        <v>9870</v>
      </c>
      <c r="P327">
        <v>987</v>
      </c>
      <c r="Q327">
        <v>8883</v>
      </c>
      <c r="R327">
        <v>3</v>
      </c>
    </row>
    <row r="328" spans="1:18">
      <c r="A328" t="s">
        <v>404</v>
      </c>
      <c r="B328" s="2">
        <v>46022</v>
      </c>
      <c r="C328" t="s">
        <v>40</v>
      </c>
      <c r="D328" t="s">
        <v>41</v>
      </c>
      <c r="E328" t="s">
        <v>42</v>
      </c>
      <c r="F328" t="s">
        <v>22</v>
      </c>
      <c r="G328" t="s">
        <v>92</v>
      </c>
      <c r="H328" t="s">
        <v>24</v>
      </c>
      <c r="I328">
        <v>1</v>
      </c>
      <c r="J328">
        <v>16890</v>
      </c>
      <c r="K328">
        <v>0.03</v>
      </c>
      <c r="L328" t="s">
        <v>34</v>
      </c>
      <c r="M328" t="s">
        <v>66</v>
      </c>
      <c r="N328" t="s">
        <v>27</v>
      </c>
      <c r="O328">
        <v>16890</v>
      </c>
      <c r="P328">
        <v>506.7</v>
      </c>
      <c r="Q328">
        <v>16383.3</v>
      </c>
      <c r="R328">
        <v>4</v>
      </c>
    </row>
    <row r="329" spans="1:18">
      <c r="A329" t="s">
        <v>405</v>
      </c>
      <c r="B329" s="2">
        <v>46022</v>
      </c>
      <c r="C329" t="s">
        <v>82</v>
      </c>
      <c r="D329" t="s">
        <v>83</v>
      </c>
      <c r="E329" t="s">
        <v>42</v>
      </c>
      <c r="F329" t="s">
        <v>22</v>
      </c>
      <c r="G329" t="s">
        <v>105</v>
      </c>
      <c r="H329" t="s">
        <v>24</v>
      </c>
      <c r="I329">
        <v>1</v>
      </c>
      <c r="J329">
        <v>3110</v>
      </c>
      <c r="K329">
        <v>0.05</v>
      </c>
      <c r="L329" t="s">
        <v>68</v>
      </c>
      <c r="M329" t="s">
        <v>35</v>
      </c>
      <c r="N329" t="s">
        <v>27</v>
      </c>
      <c r="O329">
        <v>3110</v>
      </c>
      <c r="P329">
        <v>155.5</v>
      </c>
      <c r="Q329">
        <v>2954.5</v>
      </c>
      <c r="R329">
        <v>6</v>
      </c>
    </row>
    <row r="330" spans="1:18">
      <c r="A330" t="s">
        <v>406</v>
      </c>
      <c r="B330" s="2">
        <v>46023</v>
      </c>
      <c r="C330" t="s">
        <v>19</v>
      </c>
      <c r="D330" t="s">
        <v>20</v>
      </c>
      <c r="E330" t="s">
        <v>21</v>
      </c>
      <c r="F330" t="s">
        <v>22</v>
      </c>
      <c r="G330" t="s">
        <v>43</v>
      </c>
      <c r="H330" t="s">
        <v>33</v>
      </c>
      <c r="I330">
        <v>4</v>
      </c>
      <c r="J330">
        <v>980</v>
      </c>
      <c r="K330">
        <v>0.03</v>
      </c>
      <c r="L330" t="s">
        <v>34</v>
      </c>
      <c r="M330" t="s">
        <v>50</v>
      </c>
      <c r="N330" t="s">
        <v>27</v>
      </c>
      <c r="O330">
        <v>3920</v>
      </c>
      <c r="P330">
        <v>117.6</v>
      </c>
      <c r="Q330">
        <v>3802.4</v>
      </c>
      <c r="R330">
        <v>2</v>
      </c>
    </row>
    <row r="331" spans="1:18">
      <c r="A331" t="s">
        <v>407</v>
      </c>
      <c r="B331" s="2">
        <v>46023</v>
      </c>
      <c r="C331" t="s">
        <v>19</v>
      </c>
      <c r="D331" t="s">
        <v>52</v>
      </c>
      <c r="E331" t="s">
        <v>21</v>
      </c>
      <c r="F331" t="s">
        <v>31</v>
      </c>
      <c r="G331" t="s">
        <v>62</v>
      </c>
      <c r="H331" t="s">
        <v>33</v>
      </c>
      <c r="I331">
        <v>2</v>
      </c>
      <c r="J331">
        <v>1870</v>
      </c>
      <c r="K331">
        <v>0.05</v>
      </c>
      <c r="L331" t="s">
        <v>64</v>
      </c>
      <c r="M331" t="s">
        <v>55</v>
      </c>
      <c r="N331" t="s">
        <v>27</v>
      </c>
      <c r="O331">
        <v>3740</v>
      </c>
      <c r="P331">
        <v>187</v>
      </c>
      <c r="Q331">
        <v>3553</v>
      </c>
      <c r="R331">
        <v>2</v>
      </c>
    </row>
    <row r="332" spans="1:18">
      <c r="A332" t="s">
        <v>408</v>
      </c>
      <c r="B332" s="2">
        <v>46023</v>
      </c>
      <c r="C332" t="s">
        <v>19</v>
      </c>
      <c r="D332" t="s">
        <v>20</v>
      </c>
      <c r="E332" t="s">
        <v>42</v>
      </c>
      <c r="F332" t="s">
        <v>31</v>
      </c>
      <c r="G332" t="s">
        <v>23</v>
      </c>
      <c r="H332" t="s">
        <v>24</v>
      </c>
      <c r="I332">
        <v>3</v>
      </c>
      <c r="J332">
        <v>29660</v>
      </c>
      <c r="K332">
        <v>0.03</v>
      </c>
      <c r="L332" t="s">
        <v>68</v>
      </c>
      <c r="M332" t="s">
        <v>50</v>
      </c>
      <c r="N332" t="s">
        <v>45</v>
      </c>
      <c r="O332">
        <v>0</v>
      </c>
      <c r="P332">
        <v>0</v>
      </c>
      <c r="Q332">
        <v>0</v>
      </c>
    </row>
    <row r="333" spans="1:18">
      <c r="A333" t="s">
        <v>409</v>
      </c>
      <c r="B333" s="2">
        <v>46023</v>
      </c>
      <c r="C333" t="s">
        <v>29</v>
      </c>
      <c r="D333" t="s">
        <v>30</v>
      </c>
      <c r="E333" t="s">
        <v>21</v>
      </c>
      <c r="F333" t="s">
        <v>22</v>
      </c>
      <c r="G333" t="s">
        <v>32</v>
      </c>
      <c r="H333" t="s">
        <v>33</v>
      </c>
      <c r="I333">
        <v>5</v>
      </c>
      <c r="J333">
        <v>2410</v>
      </c>
      <c r="K333">
        <v>0.03</v>
      </c>
      <c r="L333" t="s">
        <v>34</v>
      </c>
      <c r="M333" t="s">
        <v>50</v>
      </c>
      <c r="N333" t="s">
        <v>27</v>
      </c>
      <c r="O333">
        <v>12050</v>
      </c>
      <c r="P333">
        <v>361.5</v>
      </c>
      <c r="Q333">
        <v>11688.5</v>
      </c>
      <c r="R333">
        <v>4</v>
      </c>
    </row>
    <row r="334" spans="1:18">
      <c r="A334" t="s">
        <v>410</v>
      </c>
      <c r="B334" s="2">
        <v>46024</v>
      </c>
      <c r="C334" t="s">
        <v>29</v>
      </c>
      <c r="D334" t="s">
        <v>61</v>
      </c>
      <c r="E334" t="s">
        <v>21</v>
      </c>
      <c r="F334" t="s">
        <v>22</v>
      </c>
      <c r="G334" t="s">
        <v>152</v>
      </c>
      <c r="H334" t="s">
        <v>74</v>
      </c>
      <c r="I334">
        <v>1</v>
      </c>
      <c r="J334">
        <v>13640</v>
      </c>
      <c r="K334">
        <v>0.08</v>
      </c>
      <c r="L334" t="s">
        <v>68</v>
      </c>
      <c r="M334" t="s">
        <v>55</v>
      </c>
      <c r="N334" t="s">
        <v>27</v>
      </c>
      <c r="O334">
        <v>13640</v>
      </c>
      <c r="P334">
        <v>1091.2</v>
      </c>
      <c r="Q334">
        <v>12548.8</v>
      </c>
      <c r="R334">
        <v>3</v>
      </c>
    </row>
    <row r="335" spans="1:18">
      <c r="A335" t="s">
        <v>411</v>
      </c>
      <c r="B335" s="2">
        <v>46024</v>
      </c>
      <c r="C335" t="s">
        <v>82</v>
      </c>
      <c r="D335" t="s">
        <v>178</v>
      </c>
      <c r="E335" t="s">
        <v>70</v>
      </c>
      <c r="F335" t="s">
        <v>22</v>
      </c>
      <c r="G335" t="s">
        <v>48</v>
      </c>
      <c r="H335" t="s">
        <v>49</v>
      </c>
      <c r="I335">
        <v>1</v>
      </c>
      <c r="J335">
        <v>12670</v>
      </c>
      <c r="K335">
        <v>0</v>
      </c>
      <c r="L335" t="s">
        <v>34</v>
      </c>
      <c r="M335" t="s">
        <v>66</v>
      </c>
      <c r="N335" t="s">
        <v>27</v>
      </c>
      <c r="O335">
        <v>12670</v>
      </c>
      <c r="P335">
        <v>0</v>
      </c>
      <c r="Q335">
        <v>12670</v>
      </c>
      <c r="R335">
        <v>5</v>
      </c>
    </row>
    <row r="336" spans="1:18">
      <c r="A336" t="s">
        <v>412</v>
      </c>
      <c r="B336" s="2">
        <v>46024</v>
      </c>
      <c r="C336" t="s">
        <v>29</v>
      </c>
      <c r="D336" t="s">
        <v>78</v>
      </c>
      <c r="E336" t="s">
        <v>42</v>
      </c>
      <c r="F336" t="s">
        <v>53</v>
      </c>
      <c r="G336" t="s">
        <v>43</v>
      </c>
      <c r="H336" t="s">
        <v>33</v>
      </c>
      <c r="I336">
        <v>1</v>
      </c>
      <c r="J336">
        <v>920</v>
      </c>
      <c r="K336">
        <v>0.05</v>
      </c>
      <c r="L336" t="s">
        <v>64</v>
      </c>
      <c r="M336" t="s">
        <v>26</v>
      </c>
      <c r="N336" t="s">
        <v>27</v>
      </c>
      <c r="O336">
        <v>920</v>
      </c>
      <c r="P336">
        <v>46</v>
      </c>
      <c r="Q336">
        <v>874</v>
      </c>
      <c r="R336">
        <v>3</v>
      </c>
    </row>
    <row r="337" spans="1:18">
      <c r="A337" t="s">
        <v>413</v>
      </c>
      <c r="B337" s="2">
        <v>46027</v>
      </c>
      <c r="C337" t="s">
        <v>82</v>
      </c>
      <c r="D337" t="s">
        <v>122</v>
      </c>
      <c r="E337" t="s">
        <v>42</v>
      </c>
      <c r="F337" t="s">
        <v>22</v>
      </c>
      <c r="G337" t="s">
        <v>95</v>
      </c>
      <c r="H337" t="s">
        <v>24</v>
      </c>
      <c r="I337">
        <v>1</v>
      </c>
      <c r="J337">
        <v>22060</v>
      </c>
      <c r="K337">
        <v>0.05</v>
      </c>
      <c r="L337" t="s">
        <v>25</v>
      </c>
      <c r="M337" t="s">
        <v>26</v>
      </c>
      <c r="N337" t="s">
        <v>27</v>
      </c>
      <c r="O337">
        <v>22060</v>
      </c>
      <c r="P337">
        <v>1103</v>
      </c>
      <c r="Q337">
        <v>20957</v>
      </c>
      <c r="R337">
        <v>1</v>
      </c>
    </row>
    <row r="338" spans="1:18">
      <c r="A338" t="s">
        <v>414</v>
      </c>
      <c r="B338" s="2">
        <v>46028</v>
      </c>
      <c r="C338" t="s">
        <v>19</v>
      </c>
      <c r="D338" t="s">
        <v>52</v>
      </c>
      <c r="E338" t="s">
        <v>21</v>
      </c>
      <c r="F338" t="s">
        <v>22</v>
      </c>
      <c r="G338" t="s">
        <v>73</v>
      </c>
      <c r="H338" t="s">
        <v>74</v>
      </c>
      <c r="I338">
        <v>5</v>
      </c>
      <c r="J338">
        <v>12220</v>
      </c>
      <c r="K338">
        <v>0.15</v>
      </c>
      <c r="L338" t="s">
        <v>54</v>
      </c>
      <c r="M338" t="s">
        <v>66</v>
      </c>
      <c r="N338" t="s">
        <v>27</v>
      </c>
      <c r="O338">
        <v>61100</v>
      </c>
      <c r="P338">
        <v>9165</v>
      </c>
      <c r="Q338">
        <v>51935</v>
      </c>
      <c r="R338">
        <v>6</v>
      </c>
    </row>
    <row r="339" spans="1:18">
      <c r="A339" t="s">
        <v>415</v>
      </c>
      <c r="B339" s="2">
        <v>46028</v>
      </c>
      <c r="C339" t="s">
        <v>82</v>
      </c>
      <c r="D339" t="s">
        <v>122</v>
      </c>
      <c r="E339" t="s">
        <v>42</v>
      </c>
      <c r="F339" t="s">
        <v>22</v>
      </c>
      <c r="G339" t="s">
        <v>48</v>
      </c>
      <c r="H339" t="s">
        <v>49</v>
      </c>
      <c r="I339">
        <v>1</v>
      </c>
      <c r="J339">
        <v>13190</v>
      </c>
      <c r="K339">
        <v>0.08</v>
      </c>
      <c r="L339" t="s">
        <v>68</v>
      </c>
      <c r="M339" t="s">
        <v>26</v>
      </c>
      <c r="N339" t="s">
        <v>27</v>
      </c>
      <c r="O339">
        <v>13190</v>
      </c>
      <c r="P339">
        <v>1055.2</v>
      </c>
      <c r="Q339">
        <v>12134.8</v>
      </c>
      <c r="R339">
        <v>2</v>
      </c>
    </row>
    <row r="340" spans="1:18">
      <c r="A340" t="s">
        <v>416</v>
      </c>
      <c r="B340" s="2">
        <v>46028</v>
      </c>
      <c r="C340" t="s">
        <v>82</v>
      </c>
      <c r="D340" t="s">
        <v>122</v>
      </c>
      <c r="E340" t="s">
        <v>42</v>
      </c>
      <c r="F340" t="s">
        <v>22</v>
      </c>
      <c r="G340" t="s">
        <v>149</v>
      </c>
      <c r="H340" t="s">
        <v>33</v>
      </c>
      <c r="I340">
        <v>3</v>
      </c>
      <c r="J340">
        <v>3430</v>
      </c>
      <c r="K340">
        <v>0</v>
      </c>
      <c r="L340" t="s">
        <v>68</v>
      </c>
      <c r="M340" t="s">
        <v>71</v>
      </c>
      <c r="N340" t="s">
        <v>27</v>
      </c>
      <c r="O340">
        <v>10290</v>
      </c>
      <c r="P340">
        <v>0</v>
      </c>
      <c r="Q340">
        <v>10290</v>
      </c>
      <c r="R340">
        <v>4</v>
      </c>
    </row>
    <row r="341" spans="1:18">
      <c r="A341" t="s">
        <v>417</v>
      </c>
      <c r="B341" s="2">
        <v>46029</v>
      </c>
      <c r="C341" t="s">
        <v>40</v>
      </c>
      <c r="D341" t="s">
        <v>89</v>
      </c>
      <c r="E341" t="s">
        <v>21</v>
      </c>
      <c r="F341" t="s">
        <v>31</v>
      </c>
      <c r="G341" t="s">
        <v>92</v>
      </c>
      <c r="H341" t="s">
        <v>24</v>
      </c>
      <c r="I341">
        <v>3</v>
      </c>
      <c r="J341">
        <v>16100</v>
      </c>
      <c r="K341">
        <v>0.08</v>
      </c>
      <c r="L341" t="s">
        <v>64</v>
      </c>
      <c r="M341" t="s">
        <v>35</v>
      </c>
      <c r="N341" t="s">
        <v>27</v>
      </c>
      <c r="O341">
        <v>48300</v>
      </c>
      <c r="P341">
        <v>3864</v>
      </c>
      <c r="Q341">
        <v>44436</v>
      </c>
      <c r="R341">
        <v>4</v>
      </c>
    </row>
    <row r="342" spans="1:18">
      <c r="A342" t="s">
        <v>418</v>
      </c>
      <c r="B342" s="2">
        <v>46030</v>
      </c>
      <c r="C342" t="s">
        <v>19</v>
      </c>
      <c r="D342" t="s">
        <v>52</v>
      </c>
      <c r="E342" t="s">
        <v>42</v>
      </c>
      <c r="F342" t="s">
        <v>22</v>
      </c>
      <c r="G342" t="s">
        <v>37</v>
      </c>
      <c r="H342" t="s">
        <v>24</v>
      </c>
      <c r="I342">
        <v>4</v>
      </c>
      <c r="J342">
        <v>64750</v>
      </c>
      <c r="K342">
        <v>0.05</v>
      </c>
      <c r="L342" t="s">
        <v>64</v>
      </c>
      <c r="M342" t="s">
        <v>66</v>
      </c>
      <c r="N342" t="s">
        <v>27</v>
      </c>
      <c r="O342">
        <v>259000</v>
      </c>
      <c r="P342">
        <v>12950</v>
      </c>
      <c r="Q342">
        <v>246050</v>
      </c>
      <c r="R342">
        <v>2</v>
      </c>
    </row>
    <row r="343" spans="1:18">
      <c r="A343" t="s">
        <v>419</v>
      </c>
      <c r="B343" s="2">
        <v>46030</v>
      </c>
      <c r="C343" t="s">
        <v>19</v>
      </c>
      <c r="D343" t="s">
        <v>52</v>
      </c>
      <c r="E343" t="s">
        <v>21</v>
      </c>
      <c r="F343" t="s">
        <v>22</v>
      </c>
      <c r="G343" t="s">
        <v>23</v>
      </c>
      <c r="H343" t="s">
        <v>24</v>
      </c>
      <c r="I343">
        <v>1</v>
      </c>
      <c r="J343">
        <v>27550</v>
      </c>
      <c r="K343">
        <v>0.05</v>
      </c>
      <c r="L343" t="s">
        <v>68</v>
      </c>
      <c r="M343" t="s">
        <v>26</v>
      </c>
      <c r="N343" t="s">
        <v>27</v>
      </c>
      <c r="O343">
        <v>27550</v>
      </c>
      <c r="P343">
        <v>1377.5</v>
      </c>
      <c r="Q343">
        <v>26172.5</v>
      </c>
      <c r="R343">
        <v>6</v>
      </c>
    </row>
    <row r="344" spans="1:18">
      <c r="A344" t="s">
        <v>420</v>
      </c>
      <c r="B344" s="2">
        <v>46031</v>
      </c>
      <c r="C344" t="s">
        <v>19</v>
      </c>
      <c r="D344" t="s">
        <v>103</v>
      </c>
      <c r="E344" t="s">
        <v>21</v>
      </c>
      <c r="F344" t="s">
        <v>31</v>
      </c>
      <c r="G344" t="s">
        <v>23</v>
      </c>
      <c r="H344" t="s">
        <v>24</v>
      </c>
      <c r="I344">
        <v>3</v>
      </c>
      <c r="J344">
        <v>27860</v>
      </c>
      <c r="K344">
        <v>0.08</v>
      </c>
      <c r="L344" t="s">
        <v>54</v>
      </c>
      <c r="M344" t="s">
        <v>50</v>
      </c>
      <c r="N344" t="s">
        <v>27</v>
      </c>
      <c r="O344">
        <v>83580</v>
      </c>
      <c r="P344">
        <v>6686.4</v>
      </c>
      <c r="Q344">
        <v>76893.600000000006</v>
      </c>
      <c r="R344">
        <v>3</v>
      </c>
    </row>
    <row r="345" spans="1:18">
      <c r="A345" t="s">
        <v>421</v>
      </c>
      <c r="B345" s="2">
        <v>46032</v>
      </c>
      <c r="C345" t="s">
        <v>82</v>
      </c>
      <c r="D345" t="s">
        <v>122</v>
      </c>
      <c r="E345" t="s">
        <v>70</v>
      </c>
      <c r="F345" t="s">
        <v>31</v>
      </c>
      <c r="G345" t="s">
        <v>43</v>
      </c>
      <c r="H345" t="s">
        <v>33</v>
      </c>
      <c r="I345">
        <v>2</v>
      </c>
      <c r="J345">
        <v>890</v>
      </c>
      <c r="K345">
        <v>0.1</v>
      </c>
      <c r="L345" t="s">
        <v>64</v>
      </c>
      <c r="M345" t="s">
        <v>26</v>
      </c>
      <c r="N345" t="s">
        <v>27</v>
      </c>
      <c r="O345">
        <v>1780</v>
      </c>
      <c r="P345">
        <v>178</v>
      </c>
      <c r="Q345">
        <v>1602</v>
      </c>
      <c r="R345">
        <v>3</v>
      </c>
    </row>
    <row r="346" spans="1:18">
      <c r="A346" t="s">
        <v>422</v>
      </c>
      <c r="B346" s="2">
        <v>46032</v>
      </c>
      <c r="C346" t="s">
        <v>29</v>
      </c>
      <c r="D346" t="s">
        <v>85</v>
      </c>
      <c r="E346" t="s">
        <v>42</v>
      </c>
      <c r="F346" t="s">
        <v>22</v>
      </c>
      <c r="G346" t="s">
        <v>62</v>
      </c>
      <c r="H346" t="s">
        <v>33</v>
      </c>
      <c r="I346">
        <v>1</v>
      </c>
      <c r="J346">
        <v>1900</v>
      </c>
      <c r="K346">
        <v>0.03</v>
      </c>
      <c r="L346" t="s">
        <v>25</v>
      </c>
      <c r="M346" t="s">
        <v>44</v>
      </c>
      <c r="N346" t="s">
        <v>27</v>
      </c>
      <c r="O346">
        <v>1900</v>
      </c>
      <c r="P346">
        <v>57</v>
      </c>
      <c r="Q346">
        <v>1843</v>
      </c>
      <c r="R346">
        <v>2</v>
      </c>
    </row>
    <row r="347" spans="1:18">
      <c r="A347" t="s">
        <v>423</v>
      </c>
      <c r="B347" s="2">
        <v>46032</v>
      </c>
      <c r="C347" t="s">
        <v>40</v>
      </c>
      <c r="D347" t="s">
        <v>41</v>
      </c>
      <c r="E347" t="s">
        <v>42</v>
      </c>
      <c r="F347" t="s">
        <v>31</v>
      </c>
      <c r="G347" t="s">
        <v>152</v>
      </c>
      <c r="H347" t="s">
        <v>74</v>
      </c>
      <c r="I347">
        <v>1</v>
      </c>
      <c r="J347">
        <v>14440</v>
      </c>
      <c r="K347">
        <v>0.03</v>
      </c>
      <c r="L347" t="s">
        <v>68</v>
      </c>
      <c r="M347" t="s">
        <v>35</v>
      </c>
      <c r="N347" t="s">
        <v>27</v>
      </c>
      <c r="O347">
        <v>14440</v>
      </c>
      <c r="P347">
        <v>433.2</v>
      </c>
      <c r="Q347">
        <v>14006.8</v>
      </c>
      <c r="R347">
        <v>5</v>
      </c>
    </row>
    <row r="348" spans="1:18">
      <c r="A348" t="s">
        <v>424</v>
      </c>
      <c r="B348" s="2">
        <v>46032</v>
      </c>
      <c r="C348" t="s">
        <v>19</v>
      </c>
      <c r="D348" t="s">
        <v>57</v>
      </c>
      <c r="E348" t="s">
        <v>21</v>
      </c>
      <c r="F348" t="s">
        <v>22</v>
      </c>
      <c r="G348" t="s">
        <v>32</v>
      </c>
      <c r="H348" t="s">
        <v>33</v>
      </c>
      <c r="I348">
        <v>1</v>
      </c>
      <c r="J348">
        <v>2550</v>
      </c>
      <c r="K348">
        <v>0.05</v>
      </c>
      <c r="L348" t="s">
        <v>25</v>
      </c>
      <c r="M348" t="s">
        <v>50</v>
      </c>
      <c r="N348" t="s">
        <v>27</v>
      </c>
      <c r="O348">
        <v>2550</v>
      </c>
      <c r="P348">
        <v>127.5</v>
      </c>
      <c r="Q348">
        <v>2422.5</v>
      </c>
      <c r="R348">
        <v>4</v>
      </c>
    </row>
    <row r="349" spans="1:18">
      <c r="A349" t="s">
        <v>425</v>
      </c>
      <c r="B349" s="2">
        <v>46033</v>
      </c>
      <c r="C349" t="s">
        <v>82</v>
      </c>
      <c r="D349" t="s">
        <v>178</v>
      </c>
      <c r="E349" t="s">
        <v>21</v>
      </c>
      <c r="F349" t="s">
        <v>22</v>
      </c>
      <c r="G349" t="s">
        <v>101</v>
      </c>
      <c r="H349" t="s">
        <v>33</v>
      </c>
      <c r="I349">
        <v>4</v>
      </c>
      <c r="J349">
        <v>1680</v>
      </c>
      <c r="K349">
        <v>0</v>
      </c>
      <c r="L349" t="s">
        <v>64</v>
      </c>
      <c r="M349" t="s">
        <v>38</v>
      </c>
      <c r="N349" t="s">
        <v>27</v>
      </c>
      <c r="O349">
        <v>6720</v>
      </c>
      <c r="P349">
        <v>0</v>
      </c>
      <c r="Q349">
        <v>6720</v>
      </c>
      <c r="R349">
        <v>3</v>
      </c>
    </row>
    <row r="350" spans="1:18">
      <c r="A350" t="s">
        <v>426</v>
      </c>
      <c r="B350" s="2">
        <v>46033</v>
      </c>
      <c r="C350" t="s">
        <v>29</v>
      </c>
      <c r="D350" t="s">
        <v>30</v>
      </c>
      <c r="E350" t="s">
        <v>21</v>
      </c>
      <c r="F350" t="s">
        <v>22</v>
      </c>
      <c r="G350" t="s">
        <v>32</v>
      </c>
      <c r="H350" t="s">
        <v>33</v>
      </c>
      <c r="I350">
        <v>5</v>
      </c>
      <c r="J350">
        <v>2490</v>
      </c>
      <c r="K350">
        <v>0</v>
      </c>
      <c r="L350" t="s">
        <v>68</v>
      </c>
      <c r="M350" t="s">
        <v>44</v>
      </c>
      <c r="N350" t="s">
        <v>27</v>
      </c>
      <c r="O350">
        <v>12450</v>
      </c>
      <c r="P350">
        <v>0</v>
      </c>
      <c r="Q350">
        <v>12450</v>
      </c>
      <c r="R350">
        <v>1</v>
      </c>
    </row>
    <row r="351" spans="1:18">
      <c r="A351" t="s">
        <v>427</v>
      </c>
      <c r="B351" s="2">
        <v>46033</v>
      </c>
      <c r="C351" t="s">
        <v>29</v>
      </c>
      <c r="D351" t="s">
        <v>30</v>
      </c>
      <c r="E351" t="s">
        <v>70</v>
      </c>
      <c r="F351" t="s">
        <v>22</v>
      </c>
      <c r="G351" t="s">
        <v>105</v>
      </c>
      <c r="H351" t="s">
        <v>24</v>
      </c>
      <c r="I351">
        <v>1</v>
      </c>
      <c r="J351">
        <v>3190</v>
      </c>
      <c r="K351">
        <v>0.03</v>
      </c>
      <c r="L351" t="s">
        <v>54</v>
      </c>
      <c r="M351" t="s">
        <v>38</v>
      </c>
      <c r="N351" t="s">
        <v>27</v>
      </c>
      <c r="O351">
        <v>3190</v>
      </c>
      <c r="P351">
        <v>95.7</v>
      </c>
      <c r="Q351">
        <v>3094.3</v>
      </c>
      <c r="R351">
        <v>4</v>
      </c>
    </row>
    <row r="352" spans="1:18">
      <c r="A352" t="s">
        <v>428</v>
      </c>
      <c r="B352" s="2">
        <v>46034</v>
      </c>
      <c r="C352" t="s">
        <v>40</v>
      </c>
      <c r="D352" t="s">
        <v>89</v>
      </c>
      <c r="E352" t="s">
        <v>21</v>
      </c>
      <c r="F352" t="s">
        <v>31</v>
      </c>
      <c r="G352" t="s">
        <v>95</v>
      </c>
      <c r="H352" t="s">
        <v>24</v>
      </c>
      <c r="I352">
        <v>4</v>
      </c>
      <c r="J352">
        <v>21690</v>
      </c>
      <c r="K352">
        <v>0.05</v>
      </c>
      <c r="L352" t="s">
        <v>64</v>
      </c>
      <c r="M352" t="s">
        <v>44</v>
      </c>
      <c r="N352" t="s">
        <v>27</v>
      </c>
      <c r="O352">
        <v>86760</v>
      </c>
      <c r="P352">
        <v>4338</v>
      </c>
      <c r="Q352">
        <v>82422</v>
      </c>
      <c r="R352">
        <v>3</v>
      </c>
    </row>
    <row r="353" spans="1:18">
      <c r="A353" t="s">
        <v>429</v>
      </c>
      <c r="B353" s="2">
        <v>46034</v>
      </c>
      <c r="C353" t="s">
        <v>29</v>
      </c>
      <c r="D353" t="s">
        <v>85</v>
      </c>
      <c r="E353" t="s">
        <v>42</v>
      </c>
      <c r="F353" t="s">
        <v>31</v>
      </c>
      <c r="G353" t="s">
        <v>73</v>
      </c>
      <c r="H353" t="s">
        <v>74</v>
      </c>
      <c r="I353">
        <v>1</v>
      </c>
      <c r="J353">
        <v>12280</v>
      </c>
      <c r="K353">
        <v>0.1</v>
      </c>
      <c r="L353" t="s">
        <v>68</v>
      </c>
      <c r="M353" t="s">
        <v>38</v>
      </c>
      <c r="N353" t="s">
        <v>45</v>
      </c>
      <c r="O353">
        <v>0</v>
      </c>
      <c r="P353">
        <v>0</v>
      </c>
      <c r="Q353">
        <v>0</v>
      </c>
    </row>
    <row r="354" spans="1:18">
      <c r="A354" t="s">
        <v>430</v>
      </c>
      <c r="B354" s="2">
        <v>46035</v>
      </c>
      <c r="C354" t="s">
        <v>82</v>
      </c>
      <c r="D354" t="s">
        <v>83</v>
      </c>
      <c r="E354" t="s">
        <v>21</v>
      </c>
      <c r="F354" t="s">
        <v>22</v>
      </c>
      <c r="G354" t="s">
        <v>58</v>
      </c>
      <c r="H354" t="s">
        <v>59</v>
      </c>
      <c r="I354">
        <v>2</v>
      </c>
      <c r="J354">
        <v>6870</v>
      </c>
      <c r="K354">
        <v>0</v>
      </c>
      <c r="L354" t="s">
        <v>34</v>
      </c>
      <c r="M354" t="s">
        <v>44</v>
      </c>
      <c r="N354" t="s">
        <v>27</v>
      </c>
      <c r="O354">
        <v>13740</v>
      </c>
      <c r="P354">
        <v>0</v>
      </c>
      <c r="Q354">
        <v>13740</v>
      </c>
      <c r="R354">
        <v>1</v>
      </c>
    </row>
    <row r="355" spans="1:18">
      <c r="A355" t="s">
        <v>431</v>
      </c>
      <c r="B355" s="2">
        <v>46035</v>
      </c>
      <c r="C355" t="s">
        <v>29</v>
      </c>
      <c r="D355" t="s">
        <v>78</v>
      </c>
      <c r="E355" t="s">
        <v>21</v>
      </c>
      <c r="F355" t="s">
        <v>31</v>
      </c>
      <c r="G355" t="s">
        <v>92</v>
      </c>
      <c r="H355" t="s">
        <v>24</v>
      </c>
      <c r="I355">
        <v>2</v>
      </c>
      <c r="J355">
        <v>16950</v>
      </c>
      <c r="K355">
        <v>0.03</v>
      </c>
      <c r="L355" t="s">
        <v>64</v>
      </c>
      <c r="M355" t="s">
        <v>26</v>
      </c>
      <c r="N355" t="s">
        <v>27</v>
      </c>
      <c r="O355">
        <v>33900</v>
      </c>
      <c r="P355">
        <v>1017</v>
      </c>
      <c r="Q355">
        <v>32883</v>
      </c>
      <c r="R355">
        <v>2</v>
      </c>
    </row>
    <row r="356" spans="1:18">
      <c r="A356" t="s">
        <v>432</v>
      </c>
      <c r="B356" s="2">
        <v>46035</v>
      </c>
      <c r="C356" t="s">
        <v>40</v>
      </c>
      <c r="D356" t="s">
        <v>89</v>
      </c>
      <c r="E356" t="s">
        <v>70</v>
      </c>
      <c r="F356" t="s">
        <v>31</v>
      </c>
      <c r="G356" t="s">
        <v>73</v>
      </c>
      <c r="H356" t="s">
        <v>74</v>
      </c>
      <c r="I356">
        <v>1</v>
      </c>
      <c r="J356">
        <v>11110</v>
      </c>
      <c r="K356">
        <v>0</v>
      </c>
      <c r="L356" t="s">
        <v>25</v>
      </c>
      <c r="M356" t="s">
        <v>38</v>
      </c>
      <c r="N356" t="s">
        <v>27</v>
      </c>
      <c r="O356">
        <v>11110</v>
      </c>
      <c r="P356">
        <v>0</v>
      </c>
      <c r="Q356">
        <v>11110</v>
      </c>
      <c r="R356">
        <v>5</v>
      </c>
    </row>
    <row r="357" spans="1:18">
      <c r="A357" t="s">
        <v>433</v>
      </c>
      <c r="B357" s="2">
        <v>46036</v>
      </c>
      <c r="C357" t="s">
        <v>29</v>
      </c>
      <c r="D357" t="s">
        <v>30</v>
      </c>
      <c r="E357" t="s">
        <v>42</v>
      </c>
      <c r="F357" t="s">
        <v>31</v>
      </c>
      <c r="G357" t="s">
        <v>48</v>
      </c>
      <c r="H357" t="s">
        <v>49</v>
      </c>
      <c r="I357">
        <v>2</v>
      </c>
      <c r="J357">
        <v>12510</v>
      </c>
      <c r="K357">
        <v>0.15</v>
      </c>
      <c r="L357" t="s">
        <v>68</v>
      </c>
      <c r="M357" t="s">
        <v>38</v>
      </c>
      <c r="N357" t="s">
        <v>27</v>
      </c>
      <c r="O357">
        <v>25020</v>
      </c>
      <c r="P357">
        <v>3753</v>
      </c>
      <c r="Q357">
        <v>21267</v>
      </c>
      <c r="R357">
        <v>3</v>
      </c>
    </row>
    <row r="358" spans="1:18">
      <c r="A358" t="s">
        <v>434</v>
      </c>
      <c r="B358" s="2">
        <v>46036</v>
      </c>
      <c r="C358" t="s">
        <v>40</v>
      </c>
      <c r="D358" t="s">
        <v>115</v>
      </c>
      <c r="E358" t="s">
        <v>42</v>
      </c>
      <c r="F358" t="s">
        <v>53</v>
      </c>
      <c r="G358" t="s">
        <v>23</v>
      </c>
      <c r="H358" t="s">
        <v>24</v>
      </c>
      <c r="I358">
        <v>1</v>
      </c>
      <c r="J358">
        <v>28980</v>
      </c>
      <c r="K358">
        <v>0.05</v>
      </c>
      <c r="L358" t="s">
        <v>34</v>
      </c>
      <c r="M358" t="s">
        <v>26</v>
      </c>
      <c r="N358" t="s">
        <v>27</v>
      </c>
      <c r="O358">
        <v>28980</v>
      </c>
      <c r="P358">
        <v>1449</v>
      </c>
      <c r="Q358">
        <v>27531</v>
      </c>
      <c r="R358">
        <v>4</v>
      </c>
    </row>
    <row r="359" spans="1:18">
      <c r="A359" t="s">
        <v>435</v>
      </c>
      <c r="B359" s="2">
        <v>46037</v>
      </c>
      <c r="C359" t="s">
        <v>40</v>
      </c>
      <c r="D359" t="s">
        <v>115</v>
      </c>
      <c r="E359" t="s">
        <v>42</v>
      </c>
      <c r="F359" t="s">
        <v>22</v>
      </c>
      <c r="G359" t="s">
        <v>73</v>
      </c>
      <c r="H359" t="s">
        <v>74</v>
      </c>
      <c r="I359">
        <v>1</v>
      </c>
      <c r="J359">
        <v>11860</v>
      </c>
      <c r="K359">
        <v>0.08</v>
      </c>
      <c r="L359" t="s">
        <v>25</v>
      </c>
      <c r="M359" t="s">
        <v>44</v>
      </c>
      <c r="N359" t="s">
        <v>27</v>
      </c>
      <c r="O359">
        <v>11860</v>
      </c>
      <c r="P359">
        <v>948.8</v>
      </c>
      <c r="Q359">
        <v>10911.2</v>
      </c>
      <c r="R359">
        <v>3</v>
      </c>
    </row>
    <row r="360" spans="1:18">
      <c r="A360" t="s">
        <v>436</v>
      </c>
      <c r="B360" s="2">
        <v>46037</v>
      </c>
      <c r="C360" t="s">
        <v>29</v>
      </c>
      <c r="D360" t="s">
        <v>85</v>
      </c>
      <c r="E360" t="s">
        <v>42</v>
      </c>
      <c r="F360" t="s">
        <v>22</v>
      </c>
      <c r="G360" t="s">
        <v>105</v>
      </c>
      <c r="H360" t="s">
        <v>24</v>
      </c>
      <c r="I360">
        <v>1</v>
      </c>
      <c r="J360">
        <v>3240</v>
      </c>
      <c r="K360">
        <v>0.08</v>
      </c>
      <c r="L360" t="s">
        <v>54</v>
      </c>
      <c r="M360" t="s">
        <v>38</v>
      </c>
      <c r="N360" t="s">
        <v>27</v>
      </c>
      <c r="O360">
        <v>3240</v>
      </c>
      <c r="P360">
        <v>259.2</v>
      </c>
      <c r="Q360">
        <v>2980.8</v>
      </c>
      <c r="R360">
        <v>3</v>
      </c>
    </row>
    <row r="361" spans="1:18">
      <c r="A361" t="s">
        <v>437</v>
      </c>
      <c r="B361" s="2">
        <v>46037</v>
      </c>
      <c r="C361" t="s">
        <v>40</v>
      </c>
      <c r="D361" t="s">
        <v>89</v>
      </c>
      <c r="E361" t="s">
        <v>42</v>
      </c>
      <c r="F361" t="s">
        <v>31</v>
      </c>
      <c r="G361" t="s">
        <v>149</v>
      </c>
      <c r="H361" t="s">
        <v>33</v>
      </c>
      <c r="I361">
        <v>3</v>
      </c>
      <c r="J361">
        <v>3830</v>
      </c>
      <c r="K361">
        <v>0.08</v>
      </c>
      <c r="L361" t="s">
        <v>54</v>
      </c>
      <c r="M361" t="s">
        <v>66</v>
      </c>
      <c r="N361" t="s">
        <v>27</v>
      </c>
      <c r="O361">
        <v>11490</v>
      </c>
      <c r="P361">
        <v>919.2</v>
      </c>
      <c r="Q361">
        <v>10570.8</v>
      </c>
      <c r="R361">
        <v>6</v>
      </c>
    </row>
    <row r="362" spans="1:18">
      <c r="A362" t="s">
        <v>438</v>
      </c>
      <c r="B362" s="2">
        <v>46038</v>
      </c>
      <c r="C362" t="s">
        <v>19</v>
      </c>
      <c r="D362" t="s">
        <v>57</v>
      </c>
      <c r="E362" t="s">
        <v>42</v>
      </c>
      <c r="F362" t="s">
        <v>22</v>
      </c>
      <c r="G362" t="s">
        <v>95</v>
      </c>
      <c r="H362" t="s">
        <v>24</v>
      </c>
      <c r="I362">
        <v>1</v>
      </c>
      <c r="J362">
        <v>20570</v>
      </c>
      <c r="K362">
        <v>0.03</v>
      </c>
      <c r="L362" t="s">
        <v>64</v>
      </c>
      <c r="M362" t="s">
        <v>50</v>
      </c>
      <c r="N362" t="s">
        <v>27</v>
      </c>
      <c r="O362">
        <v>20570</v>
      </c>
      <c r="P362">
        <v>617.1</v>
      </c>
      <c r="Q362">
        <v>19952.900000000001</v>
      </c>
      <c r="R362">
        <v>5</v>
      </c>
    </row>
    <row r="363" spans="1:18">
      <c r="A363" t="s">
        <v>439</v>
      </c>
      <c r="B363" s="2">
        <v>46040</v>
      </c>
      <c r="C363" t="s">
        <v>40</v>
      </c>
      <c r="D363" t="s">
        <v>89</v>
      </c>
      <c r="E363" t="s">
        <v>21</v>
      </c>
      <c r="F363" t="s">
        <v>22</v>
      </c>
      <c r="G363" t="s">
        <v>32</v>
      </c>
      <c r="H363" t="s">
        <v>33</v>
      </c>
      <c r="I363">
        <v>2</v>
      </c>
      <c r="J363">
        <v>2360</v>
      </c>
      <c r="K363">
        <v>0.08</v>
      </c>
      <c r="L363" t="s">
        <v>34</v>
      </c>
      <c r="M363" t="s">
        <v>26</v>
      </c>
      <c r="N363" t="s">
        <v>27</v>
      </c>
      <c r="O363">
        <v>4720</v>
      </c>
      <c r="P363">
        <v>377.6</v>
      </c>
      <c r="Q363">
        <v>4342.3999999999996</v>
      </c>
      <c r="R363">
        <v>4</v>
      </c>
    </row>
    <row r="364" spans="1:18">
      <c r="A364" t="s">
        <v>440</v>
      </c>
      <c r="B364" s="2">
        <v>46041</v>
      </c>
      <c r="C364" t="s">
        <v>29</v>
      </c>
      <c r="D364" t="s">
        <v>78</v>
      </c>
      <c r="E364" t="s">
        <v>21</v>
      </c>
      <c r="F364" t="s">
        <v>53</v>
      </c>
      <c r="G364" t="s">
        <v>58</v>
      </c>
      <c r="H364" t="s">
        <v>59</v>
      </c>
      <c r="I364">
        <v>4</v>
      </c>
      <c r="J364">
        <v>6870</v>
      </c>
      <c r="K364">
        <v>0.05</v>
      </c>
      <c r="L364" t="s">
        <v>68</v>
      </c>
      <c r="M364" t="s">
        <v>35</v>
      </c>
      <c r="N364" t="s">
        <v>27</v>
      </c>
      <c r="O364">
        <v>27480</v>
      </c>
      <c r="P364">
        <v>1374</v>
      </c>
      <c r="Q364">
        <v>26106</v>
      </c>
      <c r="R364">
        <v>3</v>
      </c>
    </row>
    <row r="365" spans="1:18">
      <c r="A365" t="s">
        <v>441</v>
      </c>
      <c r="B365" s="2">
        <v>46042</v>
      </c>
      <c r="C365" t="s">
        <v>40</v>
      </c>
      <c r="D365" t="s">
        <v>41</v>
      </c>
      <c r="E365" t="s">
        <v>21</v>
      </c>
      <c r="F365" t="s">
        <v>22</v>
      </c>
      <c r="G365" t="s">
        <v>37</v>
      </c>
      <c r="H365" t="s">
        <v>24</v>
      </c>
      <c r="I365">
        <v>3</v>
      </c>
      <c r="J365">
        <v>61220</v>
      </c>
      <c r="K365">
        <v>0.05</v>
      </c>
      <c r="L365" t="s">
        <v>34</v>
      </c>
      <c r="M365" t="s">
        <v>38</v>
      </c>
      <c r="N365" t="s">
        <v>27</v>
      </c>
      <c r="O365">
        <v>183660</v>
      </c>
      <c r="P365">
        <v>9183</v>
      </c>
      <c r="Q365">
        <v>174477</v>
      </c>
      <c r="R365">
        <v>4</v>
      </c>
    </row>
    <row r="366" spans="1:18">
      <c r="A366" t="s">
        <v>442</v>
      </c>
      <c r="B366" s="2">
        <v>46042</v>
      </c>
      <c r="C366" t="s">
        <v>29</v>
      </c>
      <c r="D366" t="s">
        <v>61</v>
      </c>
      <c r="E366" t="s">
        <v>21</v>
      </c>
      <c r="F366" t="s">
        <v>53</v>
      </c>
      <c r="G366" t="s">
        <v>48</v>
      </c>
      <c r="H366" t="s">
        <v>49</v>
      </c>
      <c r="I366">
        <v>2</v>
      </c>
      <c r="J366">
        <v>13130</v>
      </c>
      <c r="K366">
        <v>0.03</v>
      </c>
      <c r="L366" t="s">
        <v>25</v>
      </c>
      <c r="M366" t="s">
        <v>44</v>
      </c>
      <c r="N366" t="s">
        <v>27</v>
      </c>
      <c r="O366">
        <v>26260</v>
      </c>
      <c r="P366">
        <v>787.8</v>
      </c>
      <c r="Q366">
        <v>25472.2</v>
      </c>
      <c r="R366">
        <v>2</v>
      </c>
    </row>
    <row r="367" spans="1:18">
      <c r="A367" t="s">
        <v>443</v>
      </c>
      <c r="B367" s="2">
        <v>46044</v>
      </c>
      <c r="C367" t="s">
        <v>40</v>
      </c>
      <c r="D367" t="s">
        <v>47</v>
      </c>
      <c r="E367" t="s">
        <v>70</v>
      </c>
      <c r="F367" t="s">
        <v>22</v>
      </c>
      <c r="G367" t="s">
        <v>48</v>
      </c>
      <c r="H367" t="s">
        <v>49</v>
      </c>
      <c r="I367">
        <v>1</v>
      </c>
      <c r="J367">
        <v>12830</v>
      </c>
      <c r="K367">
        <v>0.08</v>
      </c>
      <c r="L367" t="s">
        <v>25</v>
      </c>
      <c r="M367" t="s">
        <v>66</v>
      </c>
      <c r="N367" t="s">
        <v>27</v>
      </c>
      <c r="O367">
        <v>12830</v>
      </c>
      <c r="P367">
        <v>1026.4000000000001</v>
      </c>
      <c r="Q367">
        <v>11803.6</v>
      </c>
      <c r="R367">
        <v>3</v>
      </c>
    </row>
    <row r="368" spans="1:18">
      <c r="A368" t="s">
        <v>444</v>
      </c>
      <c r="B368" s="2">
        <v>46044</v>
      </c>
      <c r="C368" t="s">
        <v>19</v>
      </c>
      <c r="D368" t="s">
        <v>52</v>
      </c>
      <c r="E368" t="s">
        <v>70</v>
      </c>
      <c r="F368" t="s">
        <v>22</v>
      </c>
      <c r="G368" t="s">
        <v>92</v>
      </c>
      <c r="H368" t="s">
        <v>24</v>
      </c>
      <c r="I368">
        <v>3</v>
      </c>
      <c r="J368">
        <v>15660</v>
      </c>
      <c r="K368">
        <v>0.15</v>
      </c>
      <c r="L368" t="s">
        <v>68</v>
      </c>
      <c r="M368" t="s">
        <v>66</v>
      </c>
      <c r="N368" t="s">
        <v>27</v>
      </c>
      <c r="O368">
        <v>46980</v>
      </c>
      <c r="P368">
        <v>7047</v>
      </c>
      <c r="Q368">
        <v>39933</v>
      </c>
      <c r="R368">
        <v>4</v>
      </c>
    </row>
    <row r="369" spans="1:18">
      <c r="A369" t="s">
        <v>445</v>
      </c>
      <c r="B369" s="2">
        <v>46044</v>
      </c>
      <c r="C369" t="s">
        <v>40</v>
      </c>
      <c r="D369" t="s">
        <v>89</v>
      </c>
      <c r="E369" t="s">
        <v>42</v>
      </c>
      <c r="F369" t="s">
        <v>22</v>
      </c>
      <c r="G369" t="s">
        <v>23</v>
      </c>
      <c r="H369" t="s">
        <v>24</v>
      </c>
      <c r="I369">
        <v>1</v>
      </c>
      <c r="J369">
        <v>26650</v>
      </c>
      <c r="K369">
        <v>0.08</v>
      </c>
      <c r="L369" t="s">
        <v>25</v>
      </c>
      <c r="M369" t="s">
        <v>55</v>
      </c>
      <c r="N369" t="s">
        <v>27</v>
      </c>
      <c r="O369">
        <v>26650</v>
      </c>
      <c r="P369">
        <v>2132</v>
      </c>
      <c r="Q369">
        <v>24518</v>
      </c>
      <c r="R369">
        <v>3</v>
      </c>
    </row>
    <row r="370" spans="1:18">
      <c r="A370" t="s">
        <v>446</v>
      </c>
      <c r="B370" s="2">
        <v>46044</v>
      </c>
      <c r="C370" t="s">
        <v>40</v>
      </c>
      <c r="D370" t="s">
        <v>115</v>
      </c>
      <c r="E370" t="s">
        <v>21</v>
      </c>
      <c r="F370" t="s">
        <v>53</v>
      </c>
      <c r="G370" t="s">
        <v>23</v>
      </c>
      <c r="H370" t="s">
        <v>24</v>
      </c>
      <c r="I370">
        <v>2</v>
      </c>
      <c r="J370">
        <v>28290</v>
      </c>
      <c r="K370">
        <v>0</v>
      </c>
      <c r="L370" t="s">
        <v>68</v>
      </c>
      <c r="M370" t="s">
        <v>26</v>
      </c>
      <c r="N370" t="s">
        <v>27</v>
      </c>
      <c r="O370">
        <v>56580</v>
      </c>
      <c r="P370">
        <v>0</v>
      </c>
      <c r="Q370">
        <v>56580</v>
      </c>
      <c r="R370">
        <v>6</v>
      </c>
    </row>
    <row r="371" spans="1:18">
      <c r="A371" t="s">
        <v>447</v>
      </c>
      <c r="B371" s="2">
        <v>46045</v>
      </c>
      <c r="C371" t="s">
        <v>29</v>
      </c>
      <c r="D371" t="s">
        <v>78</v>
      </c>
      <c r="E371" t="s">
        <v>70</v>
      </c>
      <c r="F371" t="s">
        <v>53</v>
      </c>
      <c r="G371" t="s">
        <v>43</v>
      </c>
      <c r="H371" t="s">
        <v>33</v>
      </c>
      <c r="I371">
        <v>1</v>
      </c>
      <c r="J371">
        <v>990</v>
      </c>
      <c r="K371">
        <v>0</v>
      </c>
      <c r="L371" t="s">
        <v>68</v>
      </c>
      <c r="M371" t="s">
        <v>66</v>
      </c>
      <c r="N371" t="s">
        <v>27</v>
      </c>
      <c r="O371">
        <v>990</v>
      </c>
      <c r="P371">
        <v>0</v>
      </c>
      <c r="Q371">
        <v>990</v>
      </c>
      <c r="R371">
        <v>5</v>
      </c>
    </row>
    <row r="372" spans="1:18">
      <c r="A372" t="s">
        <v>448</v>
      </c>
      <c r="B372" s="2">
        <v>46046</v>
      </c>
      <c r="C372" t="s">
        <v>29</v>
      </c>
      <c r="D372" t="s">
        <v>30</v>
      </c>
      <c r="E372" t="s">
        <v>42</v>
      </c>
      <c r="F372" t="s">
        <v>22</v>
      </c>
      <c r="G372" t="s">
        <v>37</v>
      </c>
      <c r="H372" t="s">
        <v>24</v>
      </c>
      <c r="I372">
        <v>2</v>
      </c>
      <c r="J372">
        <v>59480</v>
      </c>
      <c r="K372">
        <v>0</v>
      </c>
      <c r="L372" t="s">
        <v>64</v>
      </c>
      <c r="M372" t="s">
        <v>38</v>
      </c>
      <c r="N372" t="s">
        <v>27</v>
      </c>
      <c r="O372">
        <v>118960</v>
      </c>
      <c r="P372">
        <v>0</v>
      </c>
      <c r="Q372">
        <v>118960</v>
      </c>
      <c r="R372">
        <v>3</v>
      </c>
    </row>
    <row r="373" spans="1:18">
      <c r="A373" t="s">
        <v>449</v>
      </c>
      <c r="B373" s="2">
        <v>46046</v>
      </c>
      <c r="C373" t="s">
        <v>40</v>
      </c>
      <c r="D373" t="s">
        <v>115</v>
      </c>
      <c r="E373" t="s">
        <v>42</v>
      </c>
      <c r="F373" t="s">
        <v>22</v>
      </c>
      <c r="G373" t="s">
        <v>32</v>
      </c>
      <c r="H373" t="s">
        <v>33</v>
      </c>
      <c r="I373">
        <v>2</v>
      </c>
      <c r="J373">
        <v>2410</v>
      </c>
      <c r="K373">
        <v>0.08</v>
      </c>
      <c r="L373" t="s">
        <v>54</v>
      </c>
      <c r="M373" t="s">
        <v>50</v>
      </c>
      <c r="N373" t="s">
        <v>27</v>
      </c>
      <c r="O373">
        <v>4820</v>
      </c>
      <c r="P373">
        <v>385.6</v>
      </c>
      <c r="Q373">
        <v>4434.3999999999996</v>
      </c>
      <c r="R373">
        <v>4</v>
      </c>
    </row>
    <row r="374" spans="1:18">
      <c r="A374" t="s">
        <v>450</v>
      </c>
      <c r="B374" s="2">
        <v>46047</v>
      </c>
      <c r="C374" t="s">
        <v>29</v>
      </c>
      <c r="D374" t="s">
        <v>61</v>
      </c>
      <c r="E374" t="s">
        <v>70</v>
      </c>
      <c r="F374" t="s">
        <v>53</v>
      </c>
      <c r="G374" t="s">
        <v>105</v>
      </c>
      <c r="H374" t="s">
        <v>24</v>
      </c>
      <c r="I374">
        <v>1</v>
      </c>
      <c r="J374">
        <v>3410</v>
      </c>
      <c r="K374">
        <v>0.08</v>
      </c>
      <c r="L374" t="s">
        <v>64</v>
      </c>
      <c r="M374" t="s">
        <v>44</v>
      </c>
      <c r="N374" t="s">
        <v>27</v>
      </c>
      <c r="O374">
        <v>3410</v>
      </c>
      <c r="P374">
        <v>272.8</v>
      </c>
      <c r="Q374">
        <v>3137.2</v>
      </c>
      <c r="R374">
        <v>3</v>
      </c>
    </row>
    <row r="375" spans="1:18">
      <c r="A375" t="s">
        <v>451</v>
      </c>
      <c r="B375" s="2">
        <v>46047</v>
      </c>
      <c r="C375" t="s">
        <v>40</v>
      </c>
      <c r="D375" t="s">
        <v>47</v>
      </c>
      <c r="E375" t="s">
        <v>42</v>
      </c>
      <c r="F375" t="s">
        <v>31</v>
      </c>
      <c r="G375" t="s">
        <v>48</v>
      </c>
      <c r="H375" t="s">
        <v>49</v>
      </c>
      <c r="I375">
        <v>2</v>
      </c>
      <c r="J375">
        <v>12450</v>
      </c>
      <c r="K375">
        <v>0.05</v>
      </c>
      <c r="L375" t="s">
        <v>25</v>
      </c>
      <c r="M375" t="s">
        <v>50</v>
      </c>
      <c r="N375" t="s">
        <v>27</v>
      </c>
      <c r="O375">
        <v>24900</v>
      </c>
      <c r="P375">
        <v>1245</v>
      </c>
      <c r="Q375">
        <v>23655</v>
      </c>
      <c r="R375">
        <v>3</v>
      </c>
    </row>
    <row r="376" spans="1:18">
      <c r="A376" t="s">
        <v>452</v>
      </c>
      <c r="B376" s="2">
        <v>46049</v>
      </c>
      <c r="C376" t="s">
        <v>29</v>
      </c>
      <c r="D376" t="s">
        <v>61</v>
      </c>
      <c r="E376" t="s">
        <v>42</v>
      </c>
      <c r="F376" t="s">
        <v>22</v>
      </c>
      <c r="G376" t="s">
        <v>92</v>
      </c>
      <c r="H376" t="s">
        <v>24</v>
      </c>
      <c r="I376">
        <v>5</v>
      </c>
      <c r="J376">
        <v>17550</v>
      </c>
      <c r="K376">
        <v>0.05</v>
      </c>
      <c r="L376" t="s">
        <v>25</v>
      </c>
      <c r="M376" t="s">
        <v>71</v>
      </c>
      <c r="N376" t="s">
        <v>27</v>
      </c>
      <c r="O376">
        <v>87750</v>
      </c>
      <c r="P376">
        <v>4387.5</v>
      </c>
      <c r="Q376">
        <v>83362.5</v>
      </c>
      <c r="R376">
        <v>3</v>
      </c>
    </row>
    <row r="377" spans="1:18">
      <c r="A377" t="s">
        <v>453</v>
      </c>
      <c r="B377" s="2">
        <v>46049</v>
      </c>
      <c r="C377" t="s">
        <v>19</v>
      </c>
      <c r="D377" t="s">
        <v>57</v>
      </c>
      <c r="E377" t="s">
        <v>21</v>
      </c>
      <c r="F377" t="s">
        <v>53</v>
      </c>
      <c r="G377" t="s">
        <v>149</v>
      </c>
      <c r="H377" t="s">
        <v>33</v>
      </c>
      <c r="I377">
        <v>1</v>
      </c>
      <c r="J377">
        <v>3840</v>
      </c>
      <c r="K377">
        <v>0.15</v>
      </c>
      <c r="L377" t="s">
        <v>54</v>
      </c>
      <c r="M377" t="s">
        <v>44</v>
      </c>
      <c r="N377" t="s">
        <v>27</v>
      </c>
      <c r="O377">
        <v>3840</v>
      </c>
      <c r="P377">
        <v>576</v>
      </c>
      <c r="Q377">
        <v>3264</v>
      </c>
      <c r="R377">
        <v>5</v>
      </c>
    </row>
    <row r="378" spans="1:18">
      <c r="A378" t="s">
        <v>454</v>
      </c>
      <c r="B378" s="2">
        <v>46050</v>
      </c>
      <c r="C378" t="s">
        <v>82</v>
      </c>
      <c r="D378" t="s">
        <v>83</v>
      </c>
      <c r="E378" t="s">
        <v>42</v>
      </c>
      <c r="F378" t="s">
        <v>22</v>
      </c>
      <c r="G378" t="s">
        <v>43</v>
      </c>
      <c r="H378" t="s">
        <v>33</v>
      </c>
      <c r="I378">
        <v>2</v>
      </c>
      <c r="J378">
        <v>1000</v>
      </c>
      <c r="K378">
        <v>0.05</v>
      </c>
      <c r="L378" t="s">
        <v>68</v>
      </c>
      <c r="M378" t="s">
        <v>55</v>
      </c>
      <c r="N378" t="s">
        <v>27</v>
      </c>
      <c r="O378">
        <v>2000</v>
      </c>
      <c r="P378">
        <v>100</v>
      </c>
      <c r="Q378">
        <v>1900</v>
      </c>
      <c r="R378">
        <v>4</v>
      </c>
    </row>
    <row r="379" spans="1:18">
      <c r="A379" t="s">
        <v>455</v>
      </c>
      <c r="B379" s="2">
        <v>46050</v>
      </c>
      <c r="C379" t="s">
        <v>19</v>
      </c>
      <c r="D379" t="s">
        <v>20</v>
      </c>
      <c r="E379" t="s">
        <v>21</v>
      </c>
      <c r="F379" t="s">
        <v>22</v>
      </c>
      <c r="G379" t="s">
        <v>32</v>
      </c>
      <c r="H379" t="s">
        <v>33</v>
      </c>
      <c r="I379">
        <v>5</v>
      </c>
      <c r="J379">
        <v>2340</v>
      </c>
      <c r="K379">
        <v>0.05</v>
      </c>
      <c r="L379" t="s">
        <v>54</v>
      </c>
      <c r="M379" t="s">
        <v>50</v>
      </c>
      <c r="N379" t="s">
        <v>27</v>
      </c>
      <c r="O379">
        <v>11700</v>
      </c>
      <c r="P379">
        <v>585</v>
      </c>
      <c r="Q379">
        <v>11115</v>
      </c>
      <c r="R379">
        <v>3</v>
      </c>
    </row>
    <row r="380" spans="1:18">
      <c r="A380" t="s">
        <v>456</v>
      </c>
      <c r="B380" s="2">
        <v>46050</v>
      </c>
      <c r="C380" t="s">
        <v>82</v>
      </c>
      <c r="D380" t="s">
        <v>83</v>
      </c>
      <c r="E380" t="s">
        <v>42</v>
      </c>
      <c r="F380" t="s">
        <v>22</v>
      </c>
      <c r="G380" t="s">
        <v>105</v>
      </c>
      <c r="H380" t="s">
        <v>24</v>
      </c>
      <c r="I380">
        <v>2</v>
      </c>
      <c r="J380">
        <v>3330</v>
      </c>
      <c r="K380">
        <v>0.1</v>
      </c>
      <c r="L380" t="s">
        <v>25</v>
      </c>
      <c r="M380" t="s">
        <v>71</v>
      </c>
      <c r="N380" t="s">
        <v>27</v>
      </c>
      <c r="O380">
        <v>6660</v>
      </c>
      <c r="P380">
        <v>666</v>
      </c>
      <c r="Q380">
        <v>5994</v>
      </c>
      <c r="R380">
        <v>3</v>
      </c>
    </row>
    <row r="381" spans="1:18">
      <c r="A381" t="s">
        <v>457</v>
      </c>
      <c r="B381" s="2">
        <v>46051</v>
      </c>
      <c r="C381" t="s">
        <v>19</v>
      </c>
      <c r="D381" t="s">
        <v>20</v>
      </c>
      <c r="E381" t="s">
        <v>42</v>
      </c>
      <c r="F381" t="s">
        <v>22</v>
      </c>
      <c r="G381" t="s">
        <v>32</v>
      </c>
      <c r="H381" t="s">
        <v>33</v>
      </c>
      <c r="I381">
        <v>3</v>
      </c>
      <c r="J381">
        <v>2490</v>
      </c>
      <c r="K381">
        <v>0.05</v>
      </c>
      <c r="L381" t="s">
        <v>68</v>
      </c>
      <c r="M381" t="s">
        <v>35</v>
      </c>
      <c r="N381" t="s">
        <v>27</v>
      </c>
      <c r="O381">
        <v>7470</v>
      </c>
      <c r="P381">
        <v>373.5</v>
      </c>
      <c r="Q381">
        <v>7096.5</v>
      </c>
      <c r="R381">
        <v>3</v>
      </c>
    </row>
    <row r="382" spans="1:18">
      <c r="A382" t="s">
        <v>458</v>
      </c>
      <c r="B382" s="2">
        <v>46051</v>
      </c>
      <c r="C382" t="s">
        <v>40</v>
      </c>
      <c r="D382" t="s">
        <v>41</v>
      </c>
      <c r="E382" t="s">
        <v>21</v>
      </c>
      <c r="F382" t="s">
        <v>31</v>
      </c>
      <c r="G382" t="s">
        <v>92</v>
      </c>
      <c r="H382" t="s">
        <v>24</v>
      </c>
      <c r="I382">
        <v>4</v>
      </c>
      <c r="J382">
        <v>15660</v>
      </c>
      <c r="K382">
        <v>0</v>
      </c>
      <c r="L382" t="s">
        <v>25</v>
      </c>
      <c r="M382" t="s">
        <v>38</v>
      </c>
      <c r="N382" t="s">
        <v>27</v>
      </c>
      <c r="O382">
        <v>62640</v>
      </c>
      <c r="P382">
        <v>0</v>
      </c>
      <c r="Q382">
        <v>62640</v>
      </c>
      <c r="R382">
        <v>4</v>
      </c>
    </row>
    <row r="383" spans="1:18">
      <c r="A383" t="s">
        <v>459</v>
      </c>
      <c r="B383" s="2">
        <v>46051</v>
      </c>
      <c r="C383" t="s">
        <v>40</v>
      </c>
      <c r="D383" t="s">
        <v>41</v>
      </c>
      <c r="E383" t="s">
        <v>21</v>
      </c>
      <c r="F383" t="s">
        <v>31</v>
      </c>
      <c r="G383" t="s">
        <v>58</v>
      </c>
      <c r="H383" t="s">
        <v>59</v>
      </c>
      <c r="I383">
        <v>1</v>
      </c>
      <c r="J383">
        <v>7640</v>
      </c>
      <c r="K383">
        <v>0.05</v>
      </c>
      <c r="L383" t="s">
        <v>68</v>
      </c>
      <c r="M383" t="s">
        <v>38</v>
      </c>
      <c r="N383" t="s">
        <v>27</v>
      </c>
      <c r="O383">
        <v>7640</v>
      </c>
      <c r="P383">
        <v>382</v>
      </c>
      <c r="Q383">
        <v>7258</v>
      </c>
      <c r="R383">
        <v>1</v>
      </c>
    </row>
    <row r="384" spans="1:18">
      <c r="A384" t="s">
        <v>460</v>
      </c>
      <c r="B384" s="2">
        <v>46051</v>
      </c>
      <c r="C384" t="s">
        <v>29</v>
      </c>
      <c r="D384" t="s">
        <v>30</v>
      </c>
      <c r="E384" t="s">
        <v>21</v>
      </c>
      <c r="F384" t="s">
        <v>53</v>
      </c>
      <c r="G384" t="s">
        <v>105</v>
      </c>
      <c r="H384" t="s">
        <v>24</v>
      </c>
      <c r="I384">
        <v>1</v>
      </c>
      <c r="J384">
        <v>3230</v>
      </c>
      <c r="K384">
        <v>0</v>
      </c>
      <c r="L384" t="s">
        <v>68</v>
      </c>
      <c r="M384" t="s">
        <v>66</v>
      </c>
      <c r="N384" t="s">
        <v>27</v>
      </c>
      <c r="O384">
        <v>3230</v>
      </c>
      <c r="P384">
        <v>0</v>
      </c>
      <c r="Q384">
        <v>3230</v>
      </c>
      <c r="R384">
        <v>2</v>
      </c>
    </row>
    <row r="385" spans="1:18">
      <c r="A385" t="s">
        <v>461</v>
      </c>
      <c r="B385" s="2">
        <v>46052</v>
      </c>
      <c r="C385" t="s">
        <v>29</v>
      </c>
      <c r="D385" t="s">
        <v>78</v>
      </c>
      <c r="E385" t="s">
        <v>21</v>
      </c>
      <c r="F385" t="s">
        <v>22</v>
      </c>
      <c r="G385" t="s">
        <v>101</v>
      </c>
      <c r="H385" t="s">
        <v>33</v>
      </c>
      <c r="I385">
        <v>2</v>
      </c>
      <c r="J385">
        <v>1880</v>
      </c>
      <c r="K385">
        <v>0.1</v>
      </c>
      <c r="L385" t="s">
        <v>64</v>
      </c>
      <c r="M385" t="s">
        <v>44</v>
      </c>
      <c r="N385" t="s">
        <v>27</v>
      </c>
      <c r="O385">
        <v>3760</v>
      </c>
      <c r="P385">
        <v>376</v>
      </c>
      <c r="Q385">
        <v>3384</v>
      </c>
      <c r="R385">
        <v>3</v>
      </c>
    </row>
    <row r="386" spans="1:18">
      <c r="A386" t="s">
        <v>462</v>
      </c>
      <c r="B386" s="2">
        <v>46052</v>
      </c>
      <c r="C386" t="s">
        <v>19</v>
      </c>
      <c r="D386" t="s">
        <v>103</v>
      </c>
      <c r="E386" t="s">
        <v>42</v>
      </c>
      <c r="F386" t="s">
        <v>22</v>
      </c>
      <c r="G386" t="s">
        <v>43</v>
      </c>
      <c r="H386" t="s">
        <v>33</v>
      </c>
      <c r="I386">
        <v>3</v>
      </c>
      <c r="J386">
        <v>1010</v>
      </c>
      <c r="K386">
        <v>0.05</v>
      </c>
      <c r="L386" t="s">
        <v>68</v>
      </c>
      <c r="M386" t="s">
        <v>71</v>
      </c>
      <c r="N386" t="s">
        <v>27</v>
      </c>
      <c r="O386">
        <v>3030</v>
      </c>
      <c r="P386">
        <v>151.5</v>
      </c>
      <c r="Q386">
        <v>2878.5</v>
      </c>
      <c r="R386">
        <v>5</v>
      </c>
    </row>
    <row r="387" spans="1:18">
      <c r="A387" t="s">
        <v>463</v>
      </c>
      <c r="B387" s="2">
        <v>46052</v>
      </c>
      <c r="C387" t="s">
        <v>40</v>
      </c>
      <c r="D387" t="s">
        <v>89</v>
      </c>
      <c r="E387" t="s">
        <v>42</v>
      </c>
      <c r="F387" t="s">
        <v>22</v>
      </c>
      <c r="G387" t="s">
        <v>37</v>
      </c>
      <c r="H387" t="s">
        <v>24</v>
      </c>
      <c r="I387">
        <v>3</v>
      </c>
      <c r="J387">
        <v>59880</v>
      </c>
      <c r="K387">
        <v>0.1</v>
      </c>
      <c r="L387" t="s">
        <v>64</v>
      </c>
      <c r="M387" t="s">
        <v>66</v>
      </c>
      <c r="N387" t="s">
        <v>27</v>
      </c>
      <c r="O387">
        <v>179640</v>
      </c>
      <c r="P387">
        <v>17964</v>
      </c>
      <c r="Q387">
        <v>161676</v>
      </c>
      <c r="R387">
        <v>3</v>
      </c>
    </row>
    <row r="388" spans="1:18">
      <c r="A388" t="s">
        <v>464</v>
      </c>
      <c r="B388" s="2">
        <v>46053</v>
      </c>
      <c r="C388" t="s">
        <v>29</v>
      </c>
      <c r="D388" t="s">
        <v>30</v>
      </c>
      <c r="E388" t="s">
        <v>42</v>
      </c>
      <c r="F388" t="s">
        <v>22</v>
      </c>
      <c r="G388" t="s">
        <v>37</v>
      </c>
      <c r="H388" t="s">
        <v>24</v>
      </c>
      <c r="I388">
        <v>4</v>
      </c>
      <c r="J388">
        <v>57860</v>
      </c>
      <c r="K388">
        <v>0.05</v>
      </c>
      <c r="L388" t="s">
        <v>54</v>
      </c>
      <c r="M388" t="s">
        <v>55</v>
      </c>
      <c r="N388" t="s">
        <v>27</v>
      </c>
      <c r="O388">
        <v>231440</v>
      </c>
      <c r="P388">
        <v>11572</v>
      </c>
      <c r="Q388">
        <v>219868</v>
      </c>
      <c r="R388">
        <v>3</v>
      </c>
    </row>
    <row r="389" spans="1:18">
      <c r="A389" t="s">
        <v>465</v>
      </c>
      <c r="B389" s="2">
        <v>46053</v>
      </c>
      <c r="C389" t="s">
        <v>40</v>
      </c>
      <c r="D389" t="s">
        <v>47</v>
      </c>
      <c r="E389" t="s">
        <v>21</v>
      </c>
      <c r="F389" t="s">
        <v>53</v>
      </c>
      <c r="G389" t="s">
        <v>37</v>
      </c>
      <c r="H389" t="s">
        <v>24</v>
      </c>
      <c r="I389">
        <v>1</v>
      </c>
      <c r="J389">
        <v>61330</v>
      </c>
      <c r="K389">
        <v>0</v>
      </c>
      <c r="L389" t="s">
        <v>64</v>
      </c>
      <c r="M389" t="s">
        <v>55</v>
      </c>
      <c r="N389" t="s">
        <v>27</v>
      </c>
      <c r="O389">
        <v>61330</v>
      </c>
      <c r="P389">
        <v>0</v>
      </c>
      <c r="Q389">
        <v>61330</v>
      </c>
      <c r="R389">
        <v>1</v>
      </c>
    </row>
    <row r="390" spans="1:18">
      <c r="A390" t="s">
        <v>466</v>
      </c>
      <c r="B390" s="2">
        <v>46054</v>
      </c>
      <c r="C390" t="s">
        <v>29</v>
      </c>
      <c r="D390" t="s">
        <v>85</v>
      </c>
      <c r="E390" t="s">
        <v>42</v>
      </c>
      <c r="F390" t="s">
        <v>31</v>
      </c>
      <c r="G390" t="s">
        <v>149</v>
      </c>
      <c r="H390" t="s">
        <v>33</v>
      </c>
      <c r="I390">
        <v>1</v>
      </c>
      <c r="J390">
        <v>3660</v>
      </c>
      <c r="K390">
        <v>0.05</v>
      </c>
      <c r="L390" t="s">
        <v>64</v>
      </c>
      <c r="M390" t="s">
        <v>35</v>
      </c>
      <c r="N390" t="s">
        <v>27</v>
      </c>
      <c r="O390">
        <v>3660</v>
      </c>
      <c r="P390">
        <v>183</v>
      </c>
      <c r="Q390">
        <v>3477</v>
      </c>
      <c r="R390">
        <v>6</v>
      </c>
    </row>
    <row r="391" spans="1:18">
      <c r="A391" t="s">
        <v>467</v>
      </c>
      <c r="B391" s="2">
        <v>46054</v>
      </c>
      <c r="C391" t="s">
        <v>40</v>
      </c>
      <c r="D391" t="s">
        <v>41</v>
      </c>
      <c r="E391" t="s">
        <v>42</v>
      </c>
      <c r="F391" t="s">
        <v>22</v>
      </c>
      <c r="G391" t="s">
        <v>23</v>
      </c>
      <c r="H391" t="s">
        <v>24</v>
      </c>
      <c r="I391">
        <v>1</v>
      </c>
      <c r="J391">
        <v>27590</v>
      </c>
      <c r="K391">
        <v>0.08</v>
      </c>
      <c r="L391" t="s">
        <v>64</v>
      </c>
      <c r="M391" t="s">
        <v>71</v>
      </c>
      <c r="N391" t="s">
        <v>27</v>
      </c>
      <c r="O391">
        <v>27590</v>
      </c>
      <c r="P391">
        <v>2207.1999999999998</v>
      </c>
      <c r="Q391">
        <v>25382.799999999999</v>
      </c>
      <c r="R391">
        <v>5</v>
      </c>
    </row>
    <row r="392" spans="1:18">
      <c r="A392" t="s">
        <v>468</v>
      </c>
      <c r="B392" s="2">
        <v>46055</v>
      </c>
      <c r="C392" t="s">
        <v>40</v>
      </c>
      <c r="D392" t="s">
        <v>41</v>
      </c>
      <c r="E392" t="s">
        <v>21</v>
      </c>
      <c r="F392" t="s">
        <v>22</v>
      </c>
      <c r="G392" t="s">
        <v>105</v>
      </c>
      <c r="H392" t="s">
        <v>24</v>
      </c>
      <c r="I392">
        <v>2</v>
      </c>
      <c r="J392">
        <v>3110</v>
      </c>
      <c r="K392">
        <v>0.08</v>
      </c>
      <c r="L392" t="s">
        <v>68</v>
      </c>
      <c r="M392" t="s">
        <v>26</v>
      </c>
      <c r="N392" t="s">
        <v>27</v>
      </c>
      <c r="O392">
        <v>6220</v>
      </c>
      <c r="P392">
        <v>497.6</v>
      </c>
      <c r="Q392">
        <v>5722.4</v>
      </c>
      <c r="R392">
        <v>6</v>
      </c>
    </row>
    <row r="393" spans="1:18">
      <c r="A393" t="s">
        <v>469</v>
      </c>
      <c r="B393" s="2">
        <v>46055</v>
      </c>
      <c r="C393" t="s">
        <v>19</v>
      </c>
      <c r="D393" t="s">
        <v>57</v>
      </c>
      <c r="E393" t="s">
        <v>21</v>
      </c>
      <c r="F393" t="s">
        <v>22</v>
      </c>
      <c r="G393" t="s">
        <v>92</v>
      </c>
      <c r="H393" t="s">
        <v>24</v>
      </c>
      <c r="I393">
        <v>2</v>
      </c>
      <c r="J393">
        <v>15360</v>
      </c>
      <c r="K393">
        <v>0.15</v>
      </c>
      <c r="L393" t="s">
        <v>54</v>
      </c>
      <c r="M393" t="s">
        <v>26</v>
      </c>
      <c r="N393" t="s">
        <v>27</v>
      </c>
      <c r="O393">
        <v>30720</v>
      </c>
      <c r="P393">
        <v>4608</v>
      </c>
      <c r="Q393">
        <v>26112</v>
      </c>
      <c r="R393">
        <v>2</v>
      </c>
    </row>
    <row r="394" spans="1:18">
      <c r="A394" t="s">
        <v>470</v>
      </c>
      <c r="B394" s="2">
        <v>46055</v>
      </c>
      <c r="C394" t="s">
        <v>40</v>
      </c>
      <c r="D394" t="s">
        <v>89</v>
      </c>
      <c r="E394" t="s">
        <v>70</v>
      </c>
      <c r="F394" t="s">
        <v>22</v>
      </c>
      <c r="G394" t="s">
        <v>105</v>
      </c>
      <c r="H394" t="s">
        <v>24</v>
      </c>
      <c r="I394">
        <v>4</v>
      </c>
      <c r="J394">
        <v>3050</v>
      </c>
      <c r="K394">
        <v>0.08</v>
      </c>
      <c r="L394" t="s">
        <v>68</v>
      </c>
      <c r="M394" t="s">
        <v>71</v>
      </c>
      <c r="N394" t="s">
        <v>27</v>
      </c>
      <c r="O394">
        <v>12200</v>
      </c>
      <c r="P394">
        <v>976</v>
      </c>
      <c r="Q394">
        <v>11224</v>
      </c>
      <c r="R394">
        <v>5</v>
      </c>
    </row>
    <row r="395" spans="1:18">
      <c r="A395" t="s">
        <v>471</v>
      </c>
      <c r="B395" s="2">
        <v>46057</v>
      </c>
      <c r="C395" t="s">
        <v>40</v>
      </c>
      <c r="D395" t="s">
        <v>47</v>
      </c>
      <c r="E395" t="s">
        <v>70</v>
      </c>
      <c r="F395" t="s">
        <v>31</v>
      </c>
      <c r="G395" t="s">
        <v>105</v>
      </c>
      <c r="H395" t="s">
        <v>24</v>
      </c>
      <c r="I395">
        <v>1</v>
      </c>
      <c r="J395">
        <v>2990</v>
      </c>
      <c r="K395">
        <v>0.1</v>
      </c>
      <c r="L395" t="s">
        <v>64</v>
      </c>
      <c r="M395" t="s">
        <v>38</v>
      </c>
      <c r="N395" t="s">
        <v>27</v>
      </c>
      <c r="O395">
        <v>2990</v>
      </c>
      <c r="P395">
        <v>299</v>
      </c>
      <c r="Q395">
        <v>2691</v>
      </c>
      <c r="R395">
        <v>3</v>
      </c>
    </row>
    <row r="396" spans="1:18">
      <c r="A396" t="s">
        <v>472</v>
      </c>
      <c r="B396" s="2">
        <v>46057</v>
      </c>
      <c r="C396" t="s">
        <v>82</v>
      </c>
      <c r="D396" t="s">
        <v>122</v>
      </c>
      <c r="E396" t="s">
        <v>21</v>
      </c>
      <c r="F396" t="s">
        <v>22</v>
      </c>
      <c r="G396" t="s">
        <v>62</v>
      </c>
      <c r="H396" t="s">
        <v>33</v>
      </c>
      <c r="I396">
        <v>2</v>
      </c>
      <c r="J396">
        <v>1920</v>
      </c>
      <c r="K396">
        <v>0.08</v>
      </c>
      <c r="L396" t="s">
        <v>68</v>
      </c>
      <c r="M396" t="s">
        <v>55</v>
      </c>
      <c r="N396" t="s">
        <v>27</v>
      </c>
      <c r="O396">
        <v>3840</v>
      </c>
      <c r="P396">
        <v>307.2</v>
      </c>
      <c r="Q396">
        <v>3532.8</v>
      </c>
      <c r="R396">
        <v>2</v>
      </c>
    </row>
    <row r="397" spans="1:18">
      <c r="A397" t="s">
        <v>473</v>
      </c>
      <c r="B397" s="2">
        <v>46059</v>
      </c>
      <c r="C397" t="s">
        <v>40</v>
      </c>
      <c r="D397" t="s">
        <v>115</v>
      </c>
      <c r="E397" t="s">
        <v>42</v>
      </c>
      <c r="F397" t="s">
        <v>22</v>
      </c>
      <c r="G397" t="s">
        <v>43</v>
      </c>
      <c r="H397" t="s">
        <v>33</v>
      </c>
      <c r="I397">
        <v>2</v>
      </c>
      <c r="J397">
        <v>1010</v>
      </c>
      <c r="K397">
        <v>0.03</v>
      </c>
      <c r="L397" t="s">
        <v>34</v>
      </c>
      <c r="M397" t="s">
        <v>35</v>
      </c>
      <c r="N397" t="s">
        <v>27</v>
      </c>
      <c r="O397">
        <v>2020</v>
      </c>
      <c r="P397">
        <v>60.6</v>
      </c>
      <c r="Q397">
        <v>1959.4</v>
      </c>
      <c r="R397">
        <v>3</v>
      </c>
    </row>
    <row r="398" spans="1:18">
      <c r="A398" t="s">
        <v>474</v>
      </c>
      <c r="B398" s="2">
        <v>46060</v>
      </c>
      <c r="C398" t="s">
        <v>40</v>
      </c>
      <c r="D398" t="s">
        <v>115</v>
      </c>
      <c r="E398" t="s">
        <v>70</v>
      </c>
      <c r="F398" t="s">
        <v>31</v>
      </c>
      <c r="G398" t="s">
        <v>105</v>
      </c>
      <c r="H398" t="s">
        <v>24</v>
      </c>
      <c r="I398">
        <v>2</v>
      </c>
      <c r="J398">
        <v>3150</v>
      </c>
      <c r="K398">
        <v>0</v>
      </c>
      <c r="L398" t="s">
        <v>68</v>
      </c>
      <c r="M398" t="s">
        <v>55</v>
      </c>
      <c r="N398" t="s">
        <v>27</v>
      </c>
      <c r="O398">
        <v>6300</v>
      </c>
      <c r="P398">
        <v>0</v>
      </c>
      <c r="Q398">
        <v>6300</v>
      </c>
      <c r="R398">
        <v>3</v>
      </c>
    </row>
    <row r="399" spans="1:18">
      <c r="A399" t="s">
        <v>475</v>
      </c>
      <c r="B399" s="2">
        <v>46060</v>
      </c>
      <c r="C399" t="s">
        <v>40</v>
      </c>
      <c r="D399" t="s">
        <v>47</v>
      </c>
      <c r="E399" t="s">
        <v>42</v>
      </c>
      <c r="F399" t="s">
        <v>53</v>
      </c>
      <c r="G399" t="s">
        <v>101</v>
      </c>
      <c r="H399" t="s">
        <v>33</v>
      </c>
      <c r="I399">
        <v>1</v>
      </c>
      <c r="J399">
        <v>1710</v>
      </c>
      <c r="K399">
        <v>0.05</v>
      </c>
      <c r="L399" t="s">
        <v>68</v>
      </c>
      <c r="N399" t="s">
        <v>27</v>
      </c>
      <c r="O399">
        <v>1710</v>
      </c>
      <c r="P399">
        <v>85.5</v>
      </c>
      <c r="Q399">
        <v>1624.5</v>
      </c>
      <c r="R399">
        <v>3</v>
      </c>
    </row>
    <row r="400" spans="1:18">
      <c r="A400" t="s">
        <v>476</v>
      </c>
      <c r="B400" s="2">
        <v>46060</v>
      </c>
      <c r="C400" t="s">
        <v>29</v>
      </c>
      <c r="D400" t="s">
        <v>30</v>
      </c>
      <c r="E400" t="s">
        <v>42</v>
      </c>
      <c r="F400" t="s">
        <v>31</v>
      </c>
      <c r="G400" t="s">
        <v>37</v>
      </c>
      <c r="H400" t="s">
        <v>24</v>
      </c>
      <c r="I400">
        <v>1</v>
      </c>
      <c r="J400">
        <v>62130</v>
      </c>
      <c r="K400">
        <v>0.1</v>
      </c>
      <c r="L400" t="s">
        <v>64</v>
      </c>
      <c r="M400" t="s">
        <v>38</v>
      </c>
      <c r="N400" t="s">
        <v>27</v>
      </c>
      <c r="O400">
        <v>62130</v>
      </c>
      <c r="P400">
        <v>6213</v>
      </c>
      <c r="Q400">
        <v>55917</v>
      </c>
      <c r="R400">
        <v>2</v>
      </c>
    </row>
    <row r="401" spans="1:18">
      <c r="A401" t="s">
        <v>477</v>
      </c>
      <c r="B401" s="2">
        <v>46061</v>
      </c>
      <c r="C401" t="s">
        <v>19</v>
      </c>
      <c r="D401" t="s">
        <v>57</v>
      </c>
      <c r="E401" t="s">
        <v>70</v>
      </c>
      <c r="F401" t="s">
        <v>22</v>
      </c>
      <c r="G401" t="s">
        <v>105</v>
      </c>
      <c r="H401" t="s">
        <v>24</v>
      </c>
      <c r="I401">
        <v>1</v>
      </c>
      <c r="J401">
        <v>3370</v>
      </c>
      <c r="K401">
        <v>0.05</v>
      </c>
      <c r="L401" t="s">
        <v>68</v>
      </c>
      <c r="M401" t="s">
        <v>71</v>
      </c>
      <c r="N401" t="s">
        <v>27</v>
      </c>
      <c r="O401">
        <v>3370</v>
      </c>
      <c r="P401">
        <v>168.5</v>
      </c>
      <c r="Q401">
        <v>3201.5</v>
      </c>
      <c r="R401">
        <v>1</v>
      </c>
    </row>
    <row r="402" spans="1:18">
      <c r="A402" t="s">
        <v>478</v>
      </c>
      <c r="B402" s="2">
        <v>46062</v>
      </c>
      <c r="C402" t="s">
        <v>29</v>
      </c>
      <c r="D402" t="s">
        <v>78</v>
      </c>
      <c r="E402" t="s">
        <v>21</v>
      </c>
      <c r="F402" t="s">
        <v>53</v>
      </c>
      <c r="G402" t="s">
        <v>95</v>
      </c>
      <c r="H402" t="s">
        <v>24</v>
      </c>
      <c r="I402">
        <v>3</v>
      </c>
      <c r="J402">
        <v>22390</v>
      </c>
      <c r="K402">
        <v>0.03</v>
      </c>
      <c r="L402" t="s">
        <v>64</v>
      </c>
      <c r="M402" t="s">
        <v>26</v>
      </c>
      <c r="N402" t="s">
        <v>27</v>
      </c>
      <c r="O402">
        <v>67170</v>
      </c>
      <c r="P402">
        <v>2015.1</v>
      </c>
      <c r="Q402">
        <v>65154.9</v>
      </c>
      <c r="R402">
        <v>4</v>
      </c>
    </row>
    <row r="403" spans="1:18">
      <c r="A403" t="s">
        <v>479</v>
      </c>
      <c r="B403" s="2">
        <v>46062</v>
      </c>
      <c r="C403" t="s">
        <v>40</v>
      </c>
      <c r="D403" t="s">
        <v>89</v>
      </c>
      <c r="E403" t="s">
        <v>42</v>
      </c>
      <c r="F403" t="s">
        <v>31</v>
      </c>
      <c r="G403" t="s">
        <v>92</v>
      </c>
      <c r="H403" t="s">
        <v>24</v>
      </c>
      <c r="I403">
        <v>2</v>
      </c>
      <c r="J403">
        <v>16940</v>
      </c>
      <c r="K403">
        <v>0.15</v>
      </c>
      <c r="L403" t="s">
        <v>54</v>
      </c>
      <c r="M403" t="s">
        <v>50</v>
      </c>
      <c r="N403" t="s">
        <v>27</v>
      </c>
      <c r="O403">
        <v>33880</v>
      </c>
      <c r="P403">
        <v>5082</v>
      </c>
      <c r="Q403">
        <v>28798</v>
      </c>
      <c r="R403">
        <v>5</v>
      </c>
    </row>
    <row r="404" spans="1:18">
      <c r="A404" t="s">
        <v>480</v>
      </c>
      <c r="B404" s="2">
        <v>46064</v>
      </c>
      <c r="C404" t="s">
        <v>40</v>
      </c>
      <c r="D404" t="s">
        <v>41</v>
      </c>
      <c r="E404" t="s">
        <v>42</v>
      </c>
      <c r="F404" t="s">
        <v>53</v>
      </c>
      <c r="G404" t="s">
        <v>43</v>
      </c>
      <c r="H404" t="s">
        <v>33</v>
      </c>
      <c r="I404">
        <v>3</v>
      </c>
      <c r="J404">
        <v>940</v>
      </c>
      <c r="K404">
        <v>0</v>
      </c>
      <c r="L404" t="s">
        <v>64</v>
      </c>
      <c r="M404" t="s">
        <v>71</v>
      </c>
      <c r="N404" t="s">
        <v>45</v>
      </c>
      <c r="O404">
        <v>0</v>
      </c>
      <c r="P404">
        <v>0</v>
      </c>
      <c r="Q404">
        <v>0</v>
      </c>
    </row>
    <row r="405" spans="1:18">
      <c r="A405" t="s">
        <v>481</v>
      </c>
      <c r="B405" s="2">
        <v>46064</v>
      </c>
      <c r="C405" t="s">
        <v>82</v>
      </c>
      <c r="D405" t="s">
        <v>83</v>
      </c>
      <c r="E405" t="s">
        <v>42</v>
      </c>
      <c r="F405" t="s">
        <v>53</v>
      </c>
      <c r="G405" t="s">
        <v>23</v>
      </c>
      <c r="H405" t="s">
        <v>24</v>
      </c>
      <c r="I405">
        <v>3</v>
      </c>
      <c r="J405">
        <v>26790</v>
      </c>
      <c r="K405">
        <v>0.1</v>
      </c>
      <c r="L405" t="s">
        <v>64</v>
      </c>
      <c r="M405" t="s">
        <v>71</v>
      </c>
      <c r="N405" t="s">
        <v>45</v>
      </c>
      <c r="O405">
        <v>0</v>
      </c>
      <c r="P405">
        <v>0</v>
      </c>
      <c r="Q405">
        <v>0</v>
      </c>
    </row>
    <row r="406" spans="1:18">
      <c r="A406" t="s">
        <v>482</v>
      </c>
      <c r="B406" s="2">
        <v>46065</v>
      </c>
      <c r="C406" t="s">
        <v>40</v>
      </c>
      <c r="D406" t="s">
        <v>89</v>
      </c>
      <c r="E406" t="s">
        <v>42</v>
      </c>
      <c r="F406" t="s">
        <v>53</v>
      </c>
      <c r="G406" t="s">
        <v>105</v>
      </c>
      <c r="H406" t="s">
        <v>24</v>
      </c>
      <c r="I406">
        <v>5</v>
      </c>
      <c r="J406">
        <v>3180</v>
      </c>
      <c r="K406">
        <v>0</v>
      </c>
      <c r="L406" t="s">
        <v>68</v>
      </c>
      <c r="M406" t="s">
        <v>71</v>
      </c>
      <c r="N406" t="s">
        <v>27</v>
      </c>
      <c r="O406">
        <v>15900</v>
      </c>
      <c r="P406">
        <v>0</v>
      </c>
      <c r="Q406">
        <v>15900</v>
      </c>
      <c r="R406">
        <v>2</v>
      </c>
    </row>
    <row r="407" spans="1:18">
      <c r="A407" t="s">
        <v>483</v>
      </c>
      <c r="B407" s="2">
        <v>46067</v>
      </c>
      <c r="C407" t="s">
        <v>40</v>
      </c>
      <c r="D407" t="s">
        <v>115</v>
      </c>
      <c r="E407" t="s">
        <v>21</v>
      </c>
      <c r="F407" t="s">
        <v>22</v>
      </c>
      <c r="G407" t="s">
        <v>32</v>
      </c>
      <c r="H407" t="s">
        <v>33</v>
      </c>
      <c r="I407">
        <v>3</v>
      </c>
      <c r="J407">
        <v>2470</v>
      </c>
      <c r="K407">
        <v>0.03</v>
      </c>
      <c r="L407" t="s">
        <v>25</v>
      </c>
      <c r="M407" t="s">
        <v>26</v>
      </c>
      <c r="N407" t="s">
        <v>27</v>
      </c>
      <c r="O407">
        <v>7410</v>
      </c>
      <c r="P407">
        <v>222.3</v>
      </c>
      <c r="Q407">
        <v>7187.7</v>
      </c>
      <c r="R407">
        <v>2</v>
      </c>
    </row>
    <row r="408" spans="1:18">
      <c r="A408" t="s">
        <v>484</v>
      </c>
      <c r="B408" s="2">
        <v>46067</v>
      </c>
      <c r="C408" t="s">
        <v>29</v>
      </c>
      <c r="D408" t="s">
        <v>85</v>
      </c>
      <c r="E408" t="s">
        <v>42</v>
      </c>
      <c r="F408" t="s">
        <v>22</v>
      </c>
      <c r="G408" t="s">
        <v>32</v>
      </c>
      <c r="H408" t="s">
        <v>33</v>
      </c>
      <c r="I408">
        <v>4</v>
      </c>
      <c r="J408">
        <v>2540</v>
      </c>
      <c r="K408">
        <v>0.05</v>
      </c>
      <c r="L408" t="s">
        <v>25</v>
      </c>
      <c r="M408" t="s">
        <v>71</v>
      </c>
      <c r="N408" t="s">
        <v>130</v>
      </c>
      <c r="O408">
        <v>10160</v>
      </c>
      <c r="P408">
        <v>508</v>
      </c>
      <c r="Q408">
        <v>9652</v>
      </c>
      <c r="R408">
        <v>4</v>
      </c>
    </row>
    <row r="409" spans="1:18">
      <c r="A409" t="s">
        <v>485</v>
      </c>
      <c r="B409" s="2">
        <v>46067</v>
      </c>
      <c r="C409" t="s">
        <v>82</v>
      </c>
      <c r="D409" t="s">
        <v>178</v>
      </c>
      <c r="E409" t="s">
        <v>70</v>
      </c>
      <c r="F409" t="s">
        <v>22</v>
      </c>
      <c r="G409" t="s">
        <v>95</v>
      </c>
      <c r="H409" t="s">
        <v>24</v>
      </c>
      <c r="I409">
        <v>1</v>
      </c>
      <c r="J409">
        <v>21560</v>
      </c>
      <c r="K409">
        <v>0</v>
      </c>
      <c r="L409" t="s">
        <v>64</v>
      </c>
      <c r="M409" t="s">
        <v>38</v>
      </c>
      <c r="N409" t="s">
        <v>27</v>
      </c>
      <c r="O409">
        <v>21560</v>
      </c>
      <c r="P409">
        <v>0</v>
      </c>
      <c r="Q409">
        <v>21560</v>
      </c>
      <c r="R409">
        <v>7</v>
      </c>
    </row>
    <row r="410" spans="1:18">
      <c r="A410" t="s">
        <v>486</v>
      </c>
      <c r="B410" s="2">
        <v>46067</v>
      </c>
      <c r="C410" t="s">
        <v>29</v>
      </c>
      <c r="D410" t="s">
        <v>61</v>
      </c>
      <c r="E410" t="s">
        <v>21</v>
      </c>
      <c r="F410" t="s">
        <v>22</v>
      </c>
      <c r="G410" t="s">
        <v>73</v>
      </c>
      <c r="H410" t="s">
        <v>74</v>
      </c>
      <c r="I410">
        <v>3</v>
      </c>
      <c r="J410">
        <v>12230</v>
      </c>
      <c r="K410">
        <v>0.03</v>
      </c>
      <c r="L410" t="s">
        <v>64</v>
      </c>
      <c r="M410" t="s">
        <v>26</v>
      </c>
      <c r="N410" t="s">
        <v>45</v>
      </c>
      <c r="O410">
        <v>0</v>
      </c>
      <c r="P410">
        <v>0</v>
      </c>
      <c r="Q410">
        <v>0</v>
      </c>
    </row>
    <row r="411" spans="1:18">
      <c r="A411" t="s">
        <v>487</v>
      </c>
      <c r="B411" s="2">
        <v>46067</v>
      </c>
      <c r="C411" t="s">
        <v>19</v>
      </c>
      <c r="D411" t="s">
        <v>20</v>
      </c>
      <c r="E411" t="s">
        <v>21</v>
      </c>
      <c r="F411" t="s">
        <v>31</v>
      </c>
      <c r="G411" t="s">
        <v>105</v>
      </c>
      <c r="H411" t="s">
        <v>24</v>
      </c>
      <c r="I411">
        <v>4</v>
      </c>
      <c r="J411">
        <v>3050</v>
      </c>
      <c r="K411">
        <v>0.03</v>
      </c>
      <c r="L411" t="s">
        <v>64</v>
      </c>
      <c r="M411" t="s">
        <v>26</v>
      </c>
      <c r="N411" t="s">
        <v>27</v>
      </c>
      <c r="O411">
        <v>12200</v>
      </c>
      <c r="P411">
        <v>366</v>
      </c>
      <c r="Q411">
        <v>11834</v>
      </c>
      <c r="R411">
        <v>3</v>
      </c>
    </row>
    <row r="412" spans="1:18">
      <c r="A412" t="s">
        <v>488</v>
      </c>
      <c r="B412" s="2">
        <v>46068</v>
      </c>
      <c r="C412" t="s">
        <v>40</v>
      </c>
      <c r="D412" t="s">
        <v>41</v>
      </c>
      <c r="E412" t="s">
        <v>42</v>
      </c>
      <c r="F412" t="s">
        <v>22</v>
      </c>
      <c r="G412" t="s">
        <v>37</v>
      </c>
      <c r="H412" t="s">
        <v>24</v>
      </c>
      <c r="I412">
        <v>5</v>
      </c>
      <c r="J412">
        <v>61530</v>
      </c>
      <c r="K412">
        <v>0.15</v>
      </c>
      <c r="L412" t="s">
        <v>68</v>
      </c>
      <c r="M412" t="s">
        <v>38</v>
      </c>
      <c r="N412" t="s">
        <v>27</v>
      </c>
      <c r="O412">
        <v>307650</v>
      </c>
      <c r="P412">
        <v>46147.5</v>
      </c>
      <c r="Q412">
        <v>261502.5</v>
      </c>
      <c r="R412">
        <v>3</v>
      </c>
    </row>
    <row r="413" spans="1:18">
      <c r="A413" t="s">
        <v>489</v>
      </c>
      <c r="B413" s="2">
        <v>46068</v>
      </c>
      <c r="C413" t="s">
        <v>40</v>
      </c>
      <c r="D413" t="s">
        <v>41</v>
      </c>
      <c r="E413" t="s">
        <v>42</v>
      </c>
      <c r="F413" t="s">
        <v>31</v>
      </c>
      <c r="G413" t="s">
        <v>101</v>
      </c>
      <c r="H413" t="s">
        <v>33</v>
      </c>
      <c r="I413">
        <v>1</v>
      </c>
      <c r="J413">
        <v>1720</v>
      </c>
      <c r="K413">
        <v>0.08</v>
      </c>
      <c r="L413" t="s">
        <v>64</v>
      </c>
      <c r="M413" t="s">
        <v>44</v>
      </c>
      <c r="N413" t="s">
        <v>27</v>
      </c>
      <c r="O413">
        <v>1720</v>
      </c>
      <c r="P413">
        <v>137.6</v>
      </c>
      <c r="Q413">
        <v>1582.4</v>
      </c>
      <c r="R413">
        <v>3</v>
      </c>
    </row>
    <row r="414" spans="1:18">
      <c r="A414" t="s">
        <v>490</v>
      </c>
      <c r="B414" s="2">
        <v>46068</v>
      </c>
      <c r="C414" t="s">
        <v>40</v>
      </c>
      <c r="D414" t="s">
        <v>41</v>
      </c>
      <c r="E414" t="s">
        <v>42</v>
      </c>
      <c r="F414" t="s">
        <v>31</v>
      </c>
      <c r="G414" t="s">
        <v>73</v>
      </c>
      <c r="H414" t="s">
        <v>74</v>
      </c>
      <c r="I414">
        <v>2</v>
      </c>
      <c r="J414">
        <v>11950</v>
      </c>
      <c r="K414">
        <v>0.03</v>
      </c>
      <c r="L414" t="s">
        <v>54</v>
      </c>
      <c r="M414" t="s">
        <v>26</v>
      </c>
      <c r="N414" t="s">
        <v>27</v>
      </c>
      <c r="O414">
        <v>23900</v>
      </c>
      <c r="P414">
        <v>717</v>
      </c>
      <c r="Q414">
        <v>23183</v>
      </c>
      <c r="R414">
        <v>2</v>
      </c>
    </row>
    <row r="415" spans="1:18">
      <c r="A415" t="s">
        <v>491</v>
      </c>
      <c r="B415" s="2">
        <v>46069</v>
      </c>
      <c r="C415" t="s">
        <v>29</v>
      </c>
      <c r="D415" t="s">
        <v>30</v>
      </c>
      <c r="E415" t="s">
        <v>21</v>
      </c>
      <c r="F415" t="s">
        <v>22</v>
      </c>
      <c r="G415" t="s">
        <v>101</v>
      </c>
      <c r="H415" t="s">
        <v>33</v>
      </c>
      <c r="I415">
        <v>1</v>
      </c>
      <c r="J415">
        <v>1800</v>
      </c>
      <c r="K415">
        <v>0</v>
      </c>
      <c r="L415" t="s">
        <v>64</v>
      </c>
      <c r="M415" t="s">
        <v>38</v>
      </c>
      <c r="N415" t="s">
        <v>27</v>
      </c>
      <c r="O415">
        <v>1800</v>
      </c>
      <c r="P415">
        <v>0</v>
      </c>
      <c r="Q415">
        <v>1800</v>
      </c>
      <c r="R415">
        <v>7</v>
      </c>
    </row>
    <row r="416" spans="1:18">
      <c r="A416" t="s">
        <v>492</v>
      </c>
      <c r="B416" s="2">
        <v>46070</v>
      </c>
      <c r="C416" t="s">
        <v>29</v>
      </c>
      <c r="D416" t="s">
        <v>30</v>
      </c>
      <c r="E416" t="s">
        <v>42</v>
      </c>
      <c r="F416" t="s">
        <v>22</v>
      </c>
      <c r="G416" t="s">
        <v>105</v>
      </c>
      <c r="H416" t="s">
        <v>24</v>
      </c>
      <c r="I416">
        <v>3</v>
      </c>
      <c r="J416">
        <v>3110</v>
      </c>
      <c r="K416">
        <v>0</v>
      </c>
      <c r="L416" t="s">
        <v>68</v>
      </c>
      <c r="M416" t="s">
        <v>35</v>
      </c>
      <c r="N416" t="s">
        <v>130</v>
      </c>
      <c r="O416">
        <v>9330</v>
      </c>
      <c r="P416">
        <v>0</v>
      </c>
      <c r="Q416">
        <v>9330</v>
      </c>
      <c r="R416">
        <v>3</v>
      </c>
    </row>
    <row r="417" spans="1:18">
      <c r="A417" t="s">
        <v>493</v>
      </c>
      <c r="B417" s="2">
        <v>46072</v>
      </c>
      <c r="C417" t="s">
        <v>29</v>
      </c>
      <c r="D417" t="s">
        <v>78</v>
      </c>
      <c r="E417" t="s">
        <v>21</v>
      </c>
      <c r="F417" t="s">
        <v>53</v>
      </c>
      <c r="G417" t="s">
        <v>73</v>
      </c>
      <c r="H417" t="s">
        <v>74</v>
      </c>
      <c r="I417">
        <v>3</v>
      </c>
      <c r="J417">
        <v>10850</v>
      </c>
      <c r="K417">
        <v>0</v>
      </c>
      <c r="L417" t="s">
        <v>64</v>
      </c>
      <c r="M417" t="s">
        <v>38</v>
      </c>
      <c r="N417" t="s">
        <v>27</v>
      </c>
      <c r="O417">
        <v>32550</v>
      </c>
      <c r="P417">
        <v>0</v>
      </c>
      <c r="Q417">
        <v>32550</v>
      </c>
      <c r="R417">
        <v>7</v>
      </c>
    </row>
    <row r="418" spans="1:18">
      <c r="A418" t="s">
        <v>494</v>
      </c>
      <c r="B418" s="2">
        <v>46072</v>
      </c>
      <c r="C418" t="s">
        <v>40</v>
      </c>
      <c r="D418" t="s">
        <v>47</v>
      </c>
      <c r="E418" t="s">
        <v>42</v>
      </c>
      <c r="F418" t="s">
        <v>22</v>
      </c>
      <c r="G418" t="s">
        <v>37</v>
      </c>
      <c r="H418" t="s">
        <v>24</v>
      </c>
      <c r="I418">
        <v>1</v>
      </c>
      <c r="J418">
        <v>60130</v>
      </c>
      <c r="K418">
        <v>0.08</v>
      </c>
      <c r="L418" t="s">
        <v>68</v>
      </c>
      <c r="M418" t="s">
        <v>71</v>
      </c>
      <c r="N418" t="s">
        <v>27</v>
      </c>
      <c r="O418">
        <v>60130</v>
      </c>
      <c r="P418">
        <v>4810.3999999999996</v>
      </c>
      <c r="Q418">
        <v>55319.6</v>
      </c>
      <c r="R418">
        <v>4</v>
      </c>
    </row>
    <row r="419" spans="1:18">
      <c r="A419" t="s">
        <v>495</v>
      </c>
      <c r="B419" s="2">
        <v>46072</v>
      </c>
      <c r="C419" t="s">
        <v>40</v>
      </c>
      <c r="D419" t="s">
        <v>41</v>
      </c>
      <c r="E419" t="s">
        <v>42</v>
      </c>
      <c r="F419" t="s">
        <v>31</v>
      </c>
      <c r="G419" t="s">
        <v>58</v>
      </c>
      <c r="H419" t="s">
        <v>59</v>
      </c>
      <c r="I419">
        <v>2</v>
      </c>
      <c r="J419">
        <v>7380</v>
      </c>
      <c r="K419">
        <v>0</v>
      </c>
      <c r="L419" t="s">
        <v>64</v>
      </c>
      <c r="M419" t="s">
        <v>50</v>
      </c>
      <c r="N419" t="s">
        <v>27</v>
      </c>
      <c r="O419">
        <v>14760</v>
      </c>
      <c r="P419">
        <v>0</v>
      </c>
      <c r="Q419">
        <v>14760</v>
      </c>
      <c r="R419">
        <v>3</v>
      </c>
    </row>
    <row r="420" spans="1:18">
      <c r="A420" t="s">
        <v>496</v>
      </c>
      <c r="B420" s="2">
        <v>46074</v>
      </c>
      <c r="C420" t="s">
        <v>19</v>
      </c>
      <c r="D420" t="s">
        <v>20</v>
      </c>
      <c r="E420" t="s">
        <v>42</v>
      </c>
      <c r="F420" t="s">
        <v>31</v>
      </c>
      <c r="G420" t="s">
        <v>48</v>
      </c>
      <c r="H420" t="s">
        <v>49</v>
      </c>
      <c r="I420">
        <v>2</v>
      </c>
      <c r="J420">
        <v>13120</v>
      </c>
      <c r="K420">
        <v>0.08</v>
      </c>
      <c r="L420" t="s">
        <v>54</v>
      </c>
      <c r="M420" t="s">
        <v>44</v>
      </c>
      <c r="N420" t="s">
        <v>27</v>
      </c>
      <c r="O420">
        <v>26240</v>
      </c>
      <c r="P420">
        <v>2099.1999999999998</v>
      </c>
      <c r="Q420">
        <v>24140.799999999999</v>
      </c>
      <c r="R420">
        <v>4</v>
      </c>
    </row>
    <row r="421" spans="1:18">
      <c r="A421" t="s">
        <v>497</v>
      </c>
      <c r="B421" s="2">
        <v>46074</v>
      </c>
      <c r="C421" t="s">
        <v>82</v>
      </c>
      <c r="D421" t="s">
        <v>122</v>
      </c>
      <c r="E421" t="s">
        <v>42</v>
      </c>
      <c r="F421" t="s">
        <v>22</v>
      </c>
      <c r="G421" t="s">
        <v>149</v>
      </c>
      <c r="H421" t="s">
        <v>33</v>
      </c>
      <c r="I421">
        <v>1</v>
      </c>
      <c r="J421">
        <v>3830</v>
      </c>
      <c r="K421">
        <v>0.1</v>
      </c>
      <c r="L421" t="s">
        <v>68</v>
      </c>
      <c r="M421" t="s">
        <v>26</v>
      </c>
      <c r="N421" t="s">
        <v>27</v>
      </c>
      <c r="O421">
        <v>3830</v>
      </c>
      <c r="P421">
        <v>383</v>
      </c>
      <c r="Q421">
        <v>3447</v>
      </c>
      <c r="R421">
        <v>2</v>
      </c>
    </row>
    <row r="422" spans="1:18">
      <c r="A422" t="s">
        <v>498</v>
      </c>
      <c r="B422" s="2">
        <v>46074</v>
      </c>
      <c r="C422" t="s">
        <v>29</v>
      </c>
      <c r="D422" t="s">
        <v>78</v>
      </c>
      <c r="E422" t="s">
        <v>21</v>
      </c>
      <c r="F422" t="s">
        <v>31</v>
      </c>
      <c r="G422" t="s">
        <v>43</v>
      </c>
      <c r="H422" t="s">
        <v>33</v>
      </c>
      <c r="I422">
        <v>3</v>
      </c>
      <c r="J422">
        <v>970</v>
      </c>
      <c r="K422">
        <v>0.03</v>
      </c>
      <c r="L422" t="s">
        <v>34</v>
      </c>
      <c r="M422" t="s">
        <v>55</v>
      </c>
      <c r="N422" t="s">
        <v>27</v>
      </c>
      <c r="O422">
        <v>2910</v>
      </c>
      <c r="P422">
        <v>87.3</v>
      </c>
      <c r="Q422">
        <v>2822.7</v>
      </c>
      <c r="R422">
        <v>6</v>
      </c>
    </row>
    <row r="423" spans="1:18">
      <c r="A423" t="s">
        <v>499</v>
      </c>
      <c r="B423" s="2">
        <v>46076</v>
      </c>
      <c r="C423" t="s">
        <v>29</v>
      </c>
      <c r="D423" t="s">
        <v>78</v>
      </c>
      <c r="E423" t="s">
        <v>42</v>
      </c>
      <c r="F423" t="s">
        <v>22</v>
      </c>
      <c r="G423" t="s">
        <v>105</v>
      </c>
      <c r="H423" t="s">
        <v>24</v>
      </c>
      <c r="I423">
        <v>4</v>
      </c>
      <c r="J423">
        <v>2990</v>
      </c>
      <c r="K423">
        <v>0</v>
      </c>
      <c r="L423" t="s">
        <v>64</v>
      </c>
      <c r="M423" t="s">
        <v>44</v>
      </c>
      <c r="N423" t="s">
        <v>27</v>
      </c>
      <c r="O423">
        <v>11960</v>
      </c>
      <c r="P423">
        <v>0</v>
      </c>
      <c r="Q423">
        <v>11960</v>
      </c>
      <c r="R423">
        <v>2</v>
      </c>
    </row>
    <row r="424" spans="1:18">
      <c r="A424" t="s">
        <v>500</v>
      </c>
      <c r="B424" s="2">
        <v>46076</v>
      </c>
      <c r="C424" t="s">
        <v>40</v>
      </c>
      <c r="D424" t="s">
        <v>89</v>
      </c>
      <c r="E424" t="s">
        <v>42</v>
      </c>
      <c r="F424" t="s">
        <v>22</v>
      </c>
      <c r="G424" t="s">
        <v>48</v>
      </c>
      <c r="H424" t="s">
        <v>49</v>
      </c>
      <c r="I424">
        <v>2</v>
      </c>
      <c r="J424">
        <v>13360</v>
      </c>
      <c r="K424">
        <v>0.05</v>
      </c>
      <c r="L424" t="s">
        <v>64</v>
      </c>
      <c r="M424" t="s">
        <v>66</v>
      </c>
      <c r="N424" t="s">
        <v>27</v>
      </c>
      <c r="O424">
        <v>26720</v>
      </c>
      <c r="P424">
        <v>1336</v>
      </c>
      <c r="Q424">
        <v>25384</v>
      </c>
      <c r="R424">
        <v>2</v>
      </c>
    </row>
    <row r="425" spans="1:18">
      <c r="A425" t="s">
        <v>501</v>
      </c>
      <c r="B425" s="2">
        <v>46077</v>
      </c>
      <c r="C425" t="s">
        <v>40</v>
      </c>
      <c r="D425" t="s">
        <v>41</v>
      </c>
      <c r="E425" t="s">
        <v>70</v>
      </c>
      <c r="F425" t="s">
        <v>22</v>
      </c>
      <c r="G425" t="s">
        <v>32</v>
      </c>
      <c r="H425" t="s">
        <v>33</v>
      </c>
      <c r="I425">
        <v>5</v>
      </c>
      <c r="J425">
        <v>2240</v>
      </c>
      <c r="K425">
        <v>0.05</v>
      </c>
      <c r="L425" t="s">
        <v>64</v>
      </c>
      <c r="M425" t="s">
        <v>55</v>
      </c>
      <c r="N425" t="s">
        <v>27</v>
      </c>
      <c r="O425">
        <v>11200</v>
      </c>
      <c r="P425">
        <v>560</v>
      </c>
      <c r="Q425">
        <v>10640</v>
      </c>
      <c r="R425">
        <v>1</v>
      </c>
    </row>
    <row r="426" spans="1:18">
      <c r="A426" t="s">
        <v>502</v>
      </c>
      <c r="B426" s="2">
        <v>46077</v>
      </c>
      <c r="C426" t="s">
        <v>19</v>
      </c>
      <c r="D426" t="s">
        <v>103</v>
      </c>
      <c r="E426" t="s">
        <v>42</v>
      </c>
      <c r="F426" t="s">
        <v>22</v>
      </c>
      <c r="G426" t="s">
        <v>152</v>
      </c>
      <c r="H426" t="s">
        <v>74</v>
      </c>
      <c r="I426">
        <v>3</v>
      </c>
      <c r="J426">
        <v>14190</v>
      </c>
      <c r="K426">
        <v>0.08</v>
      </c>
      <c r="L426" t="s">
        <v>34</v>
      </c>
      <c r="M426" t="s">
        <v>66</v>
      </c>
      <c r="N426" t="s">
        <v>27</v>
      </c>
      <c r="O426">
        <v>42570</v>
      </c>
      <c r="P426">
        <v>3405.6</v>
      </c>
      <c r="Q426">
        <v>39164.400000000001</v>
      </c>
      <c r="R426">
        <v>2</v>
      </c>
    </row>
    <row r="427" spans="1:18">
      <c r="A427" t="s">
        <v>503</v>
      </c>
      <c r="B427" s="2">
        <v>46077</v>
      </c>
      <c r="C427" t="s">
        <v>40</v>
      </c>
      <c r="D427" t="s">
        <v>89</v>
      </c>
      <c r="E427" t="s">
        <v>21</v>
      </c>
      <c r="F427" t="s">
        <v>22</v>
      </c>
      <c r="G427" t="s">
        <v>152</v>
      </c>
      <c r="H427" t="s">
        <v>74</v>
      </c>
      <c r="I427">
        <v>2</v>
      </c>
      <c r="J427">
        <v>14660</v>
      </c>
      <c r="K427">
        <v>0.05</v>
      </c>
      <c r="L427" t="s">
        <v>54</v>
      </c>
      <c r="M427" t="s">
        <v>44</v>
      </c>
      <c r="N427" t="s">
        <v>27</v>
      </c>
      <c r="O427">
        <v>29320</v>
      </c>
      <c r="P427">
        <v>1466</v>
      </c>
      <c r="Q427">
        <v>27854</v>
      </c>
      <c r="R427">
        <v>2</v>
      </c>
    </row>
    <row r="428" spans="1:18">
      <c r="A428" t="s">
        <v>504</v>
      </c>
      <c r="B428" s="2">
        <v>46077</v>
      </c>
      <c r="C428" t="s">
        <v>19</v>
      </c>
      <c r="D428" t="s">
        <v>103</v>
      </c>
      <c r="E428" t="s">
        <v>42</v>
      </c>
      <c r="F428" t="s">
        <v>22</v>
      </c>
      <c r="G428" t="s">
        <v>95</v>
      </c>
      <c r="H428" t="s">
        <v>24</v>
      </c>
      <c r="I428">
        <v>2</v>
      </c>
      <c r="J428">
        <v>22510</v>
      </c>
      <c r="K428">
        <v>0.05</v>
      </c>
      <c r="L428" t="s">
        <v>68</v>
      </c>
      <c r="M428" t="s">
        <v>66</v>
      </c>
      <c r="N428" t="s">
        <v>27</v>
      </c>
      <c r="O428">
        <v>45020</v>
      </c>
      <c r="P428">
        <v>2251</v>
      </c>
      <c r="Q428">
        <v>42769</v>
      </c>
      <c r="R428">
        <v>2</v>
      </c>
    </row>
    <row r="429" spans="1:18">
      <c r="A429" t="s">
        <v>505</v>
      </c>
      <c r="B429" s="2">
        <v>46077</v>
      </c>
      <c r="C429" t="s">
        <v>40</v>
      </c>
      <c r="D429" t="s">
        <v>89</v>
      </c>
      <c r="E429" t="s">
        <v>21</v>
      </c>
      <c r="F429" t="s">
        <v>53</v>
      </c>
      <c r="G429" t="s">
        <v>152</v>
      </c>
      <c r="H429" t="s">
        <v>74</v>
      </c>
      <c r="I429">
        <v>2</v>
      </c>
      <c r="J429">
        <v>14620</v>
      </c>
      <c r="K429">
        <v>0.1</v>
      </c>
      <c r="L429" t="s">
        <v>34</v>
      </c>
      <c r="M429" t="s">
        <v>26</v>
      </c>
      <c r="N429" t="s">
        <v>27</v>
      </c>
      <c r="O429">
        <v>29240</v>
      </c>
      <c r="P429">
        <v>2924</v>
      </c>
      <c r="Q429">
        <v>26316</v>
      </c>
      <c r="R429">
        <v>2</v>
      </c>
    </row>
    <row r="430" spans="1:18">
      <c r="A430" t="s">
        <v>506</v>
      </c>
      <c r="B430" s="2">
        <v>46077</v>
      </c>
      <c r="C430" t="s">
        <v>29</v>
      </c>
      <c r="D430" t="s">
        <v>78</v>
      </c>
      <c r="E430" t="s">
        <v>42</v>
      </c>
      <c r="F430" t="s">
        <v>53</v>
      </c>
      <c r="G430" t="s">
        <v>43</v>
      </c>
      <c r="H430" t="s">
        <v>33</v>
      </c>
      <c r="I430">
        <v>2</v>
      </c>
      <c r="J430">
        <v>960</v>
      </c>
      <c r="K430">
        <v>0.1</v>
      </c>
      <c r="L430" t="s">
        <v>34</v>
      </c>
      <c r="M430" t="s">
        <v>26</v>
      </c>
      <c r="N430" t="s">
        <v>27</v>
      </c>
      <c r="O430">
        <v>1920</v>
      </c>
      <c r="P430">
        <v>192</v>
      </c>
      <c r="Q430">
        <v>1728</v>
      </c>
      <c r="R430">
        <v>3</v>
      </c>
    </row>
    <row r="431" spans="1:18">
      <c r="A431" t="s">
        <v>507</v>
      </c>
      <c r="B431" s="2">
        <v>46078</v>
      </c>
      <c r="C431" t="s">
        <v>40</v>
      </c>
      <c r="D431" t="s">
        <v>41</v>
      </c>
      <c r="E431" t="s">
        <v>42</v>
      </c>
      <c r="F431" t="s">
        <v>53</v>
      </c>
      <c r="G431" t="s">
        <v>152</v>
      </c>
      <c r="H431" t="s">
        <v>74</v>
      </c>
      <c r="I431">
        <v>2</v>
      </c>
      <c r="J431">
        <v>14510</v>
      </c>
      <c r="K431">
        <v>0</v>
      </c>
      <c r="L431" t="s">
        <v>25</v>
      </c>
      <c r="M431" t="s">
        <v>44</v>
      </c>
      <c r="N431" t="s">
        <v>27</v>
      </c>
      <c r="O431">
        <v>29020</v>
      </c>
      <c r="P431">
        <v>0</v>
      </c>
      <c r="Q431">
        <v>29020</v>
      </c>
      <c r="R431">
        <v>6</v>
      </c>
    </row>
    <row r="432" spans="1:18">
      <c r="A432" t="s">
        <v>508</v>
      </c>
      <c r="B432" s="2">
        <v>46078</v>
      </c>
      <c r="C432" t="s">
        <v>19</v>
      </c>
      <c r="D432" t="s">
        <v>57</v>
      </c>
      <c r="E432" t="s">
        <v>21</v>
      </c>
      <c r="F432" t="s">
        <v>31</v>
      </c>
      <c r="G432" t="s">
        <v>92</v>
      </c>
      <c r="H432" t="s">
        <v>24</v>
      </c>
      <c r="I432">
        <v>2</v>
      </c>
      <c r="J432">
        <v>16370</v>
      </c>
      <c r="K432">
        <v>0</v>
      </c>
      <c r="L432" t="s">
        <v>54</v>
      </c>
      <c r="M432" t="s">
        <v>71</v>
      </c>
      <c r="N432" t="s">
        <v>27</v>
      </c>
      <c r="O432">
        <v>32740</v>
      </c>
      <c r="P432">
        <v>0</v>
      </c>
      <c r="Q432">
        <v>32740</v>
      </c>
      <c r="R432">
        <v>3</v>
      </c>
    </row>
    <row r="433" spans="1:18">
      <c r="A433" t="s">
        <v>509</v>
      </c>
      <c r="B433" s="2">
        <v>46078</v>
      </c>
      <c r="C433" t="s">
        <v>19</v>
      </c>
      <c r="D433" t="s">
        <v>52</v>
      </c>
      <c r="E433" t="s">
        <v>21</v>
      </c>
      <c r="F433" t="s">
        <v>22</v>
      </c>
      <c r="G433" t="s">
        <v>43</v>
      </c>
      <c r="H433" t="s">
        <v>33</v>
      </c>
      <c r="I433">
        <v>5</v>
      </c>
      <c r="J433">
        <v>980</v>
      </c>
      <c r="K433">
        <v>0.1</v>
      </c>
      <c r="L433" t="s">
        <v>54</v>
      </c>
      <c r="M433" t="s">
        <v>35</v>
      </c>
      <c r="N433" t="s">
        <v>27</v>
      </c>
      <c r="O433">
        <v>4900</v>
      </c>
      <c r="P433">
        <v>490</v>
      </c>
      <c r="Q433">
        <v>4410</v>
      </c>
      <c r="R433">
        <v>4</v>
      </c>
    </row>
    <row r="434" spans="1:18">
      <c r="A434" t="s">
        <v>510</v>
      </c>
      <c r="B434" s="2">
        <v>46078</v>
      </c>
      <c r="C434" t="s">
        <v>40</v>
      </c>
      <c r="D434" t="s">
        <v>41</v>
      </c>
      <c r="E434" t="s">
        <v>42</v>
      </c>
      <c r="F434" t="s">
        <v>53</v>
      </c>
      <c r="G434" t="s">
        <v>58</v>
      </c>
      <c r="H434" t="s">
        <v>59</v>
      </c>
      <c r="I434">
        <v>4</v>
      </c>
      <c r="J434">
        <v>6810</v>
      </c>
      <c r="K434">
        <v>0.1</v>
      </c>
      <c r="L434" t="s">
        <v>64</v>
      </c>
      <c r="M434" t="s">
        <v>35</v>
      </c>
      <c r="N434" t="s">
        <v>27</v>
      </c>
      <c r="O434">
        <v>27240</v>
      </c>
      <c r="P434">
        <v>2724</v>
      </c>
      <c r="Q434">
        <v>24516</v>
      </c>
      <c r="R434">
        <v>6</v>
      </c>
    </row>
    <row r="435" spans="1:18">
      <c r="A435" t="s">
        <v>511</v>
      </c>
      <c r="B435" s="2">
        <v>46079</v>
      </c>
      <c r="C435" t="s">
        <v>40</v>
      </c>
      <c r="D435" t="s">
        <v>115</v>
      </c>
      <c r="E435" t="s">
        <v>42</v>
      </c>
      <c r="F435" t="s">
        <v>22</v>
      </c>
      <c r="G435" t="s">
        <v>152</v>
      </c>
      <c r="H435" t="s">
        <v>74</v>
      </c>
      <c r="I435">
        <v>3</v>
      </c>
      <c r="J435">
        <v>14770</v>
      </c>
      <c r="K435">
        <v>0</v>
      </c>
      <c r="L435" t="s">
        <v>25</v>
      </c>
      <c r="M435" t="s">
        <v>50</v>
      </c>
      <c r="N435" t="s">
        <v>27</v>
      </c>
      <c r="O435">
        <v>44310</v>
      </c>
      <c r="P435">
        <v>0</v>
      </c>
      <c r="Q435">
        <v>44310</v>
      </c>
      <c r="R435">
        <v>3</v>
      </c>
    </row>
    <row r="436" spans="1:18">
      <c r="A436" t="s">
        <v>512</v>
      </c>
      <c r="B436" s="2">
        <v>46079</v>
      </c>
      <c r="C436" t="s">
        <v>82</v>
      </c>
      <c r="D436" t="s">
        <v>178</v>
      </c>
      <c r="E436" t="s">
        <v>42</v>
      </c>
      <c r="F436" t="s">
        <v>31</v>
      </c>
      <c r="G436" t="s">
        <v>37</v>
      </c>
      <c r="H436" t="s">
        <v>24</v>
      </c>
      <c r="I436">
        <v>1</v>
      </c>
      <c r="J436">
        <v>61710</v>
      </c>
      <c r="K436">
        <v>0.05</v>
      </c>
      <c r="L436" t="s">
        <v>25</v>
      </c>
      <c r="M436" t="s">
        <v>55</v>
      </c>
      <c r="N436" t="s">
        <v>27</v>
      </c>
      <c r="O436">
        <v>61710</v>
      </c>
      <c r="P436">
        <v>3085.5</v>
      </c>
      <c r="Q436">
        <v>58624.5</v>
      </c>
      <c r="R436">
        <v>1</v>
      </c>
    </row>
    <row r="437" spans="1:18">
      <c r="A437" t="s">
        <v>513</v>
      </c>
      <c r="B437" s="2">
        <v>46079</v>
      </c>
      <c r="C437" t="s">
        <v>29</v>
      </c>
      <c r="D437" t="s">
        <v>85</v>
      </c>
      <c r="E437" t="s">
        <v>70</v>
      </c>
      <c r="F437" t="s">
        <v>31</v>
      </c>
      <c r="G437" t="s">
        <v>48</v>
      </c>
      <c r="H437" t="s">
        <v>49</v>
      </c>
      <c r="I437">
        <v>1</v>
      </c>
      <c r="J437">
        <v>12430</v>
      </c>
      <c r="K437">
        <v>0</v>
      </c>
      <c r="L437" t="s">
        <v>68</v>
      </c>
      <c r="M437" t="s">
        <v>44</v>
      </c>
      <c r="N437" t="s">
        <v>45</v>
      </c>
      <c r="O437">
        <v>0</v>
      </c>
      <c r="P437">
        <v>0</v>
      </c>
      <c r="Q437">
        <v>0</v>
      </c>
    </row>
    <row r="438" spans="1:18">
      <c r="A438" t="s">
        <v>514</v>
      </c>
      <c r="B438" s="2">
        <v>46080</v>
      </c>
      <c r="C438" t="s">
        <v>40</v>
      </c>
      <c r="D438" t="s">
        <v>47</v>
      </c>
      <c r="E438" t="s">
        <v>42</v>
      </c>
      <c r="F438" t="s">
        <v>22</v>
      </c>
      <c r="G438" t="s">
        <v>149</v>
      </c>
      <c r="H438" t="s">
        <v>33</v>
      </c>
      <c r="I438">
        <v>1</v>
      </c>
      <c r="J438">
        <v>3700</v>
      </c>
      <c r="K438">
        <v>0.08</v>
      </c>
      <c r="L438" t="s">
        <v>34</v>
      </c>
      <c r="M438" t="s">
        <v>71</v>
      </c>
      <c r="N438" t="s">
        <v>27</v>
      </c>
      <c r="O438">
        <v>3700</v>
      </c>
      <c r="P438">
        <v>296</v>
      </c>
      <c r="Q438">
        <v>3404</v>
      </c>
      <c r="R438">
        <v>3</v>
      </c>
    </row>
    <row r="439" spans="1:18">
      <c r="A439" t="s">
        <v>515</v>
      </c>
      <c r="B439" s="2">
        <v>46082</v>
      </c>
      <c r="C439" t="s">
        <v>19</v>
      </c>
      <c r="D439" t="s">
        <v>52</v>
      </c>
      <c r="E439" t="s">
        <v>42</v>
      </c>
      <c r="F439" t="s">
        <v>22</v>
      </c>
      <c r="G439" t="s">
        <v>105</v>
      </c>
      <c r="H439" t="s">
        <v>24</v>
      </c>
      <c r="I439">
        <v>1</v>
      </c>
      <c r="J439">
        <v>3340</v>
      </c>
      <c r="K439">
        <v>0.08</v>
      </c>
      <c r="L439" t="s">
        <v>64</v>
      </c>
      <c r="M439" t="s">
        <v>66</v>
      </c>
      <c r="N439" t="s">
        <v>27</v>
      </c>
      <c r="O439">
        <v>3340</v>
      </c>
      <c r="P439">
        <v>267.2</v>
      </c>
      <c r="Q439">
        <v>3072.8</v>
      </c>
      <c r="R439">
        <v>2</v>
      </c>
    </row>
    <row r="440" spans="1:18">
      <c r="A440" t="s">
        <v>516</v>
      </c>
      <c r="B440" s="2">
        <v>46082</v>
      </c>
      <c r="C440" t="s">
        <v>29</v>
      </c>
      <c r="D440" t="s">
        <v>85</v>
      </c>
      <c r="E440" t="s">
        <v>21</v>
      </c>
      <c r="F440" t="s">
        <v>22</v>
      </c>
      <c r="G440" t="s">
        <v>37</v>
      </c>
      <c r="H440" t="s">
        <v>24</v>
      </c>
      <c r="I440">
        <v>3</v>
      </c>
      <c r="J440">
        <v>61300</v>
      </c>
      <c r="K440">
        <v>0.1</v>
      </c>
      <c r="L440" t="s">
        <v>54</v>
      </c>
      <c r="M440" t="s">
        <v>44</v>
      </c>
      <c r="N440" t="s">
        <v>27</v>
      </c>
      <c r="O440">
        <v>183900</v>
      </c>
      <c r="P440">
        <v>18390</v>
      </c>
      <c r="Q440">
        <v>165510</v>
      </c>
      <c r="R440">
        <v>4</v>
      </c>
    </row>
    <row r="441" spans="1:18">
      <c r="A441" t="s">
        <v>517</v>
      </c>
      <c r="B441" s="2">
        <v>46085</v>
      </c>
      <c r="C441" t="s">
        <v>29</v>
      </c>
      <c r="D441" t="s">
        <v>61</v>
      </c>
      <c r="E441" t="s">
        <v>42</v>
      </c>
      <c r="F441" t="s">
        <v>22</v>
      </c>
      <c r="G441" t="s">
        <v>48</v>
      </c>
      <c r="H441" t="s">
        <v>49</v>
      </c>
      <c r="I441">
        <v>1</v>
      </c>
      <c r="J441">
        <v>11630</v>
      </c>
      <c r="K441">
        <v>0</v>
      </c>
      <c r="L441" t="s">
        <v>68</v>
      </c>
      <c r="M441" t="s">
        <v>35</v>
      </c>
      <c r="N441" t="s">
        <v>27</v>
      </c>
      <c r="O441">
        <v>11630</v>
      </c>
      <c r="P441">
        <v>0</v>
      </c>
      <c r="Q441">
        <v>11630</v>
      </c>
      <c r="R441">
        <v>2</v>
      </c>
    </row>
    <row r="442" spans="1:18">
      <c r="A442" t="s">
        <v>518</v>
      </c>
      <c r="B442" s="2">
        <v>46085</v>
      </c>
      <c r="C442" t="s">
        <v>82</v>
      </c>
      <c r="D442" t="s">
        <v>83</v>
      </c>
      <c r="E442" t="s">
        <v>21</v>
      </c>
      <c r="F442" t="s">
        <v>31</v>
      </c>
      <c r="G442" t="s">
        <v>101</v>
      </c>
      <c r="H442" t="s">
        <v>33</v>
      </c>
      <c r="I442">
        <v>3</v>
      </c>
      <c r="J442">
        <v>1780</v>
      </c>
      <c r="K442">
        <v>0.05</v>
      </c>
      <c r="L442" t="s">
        <v>54</v>
      </c>
      <c r="M442" t="s">
        <v>50</v>
      </c>
      <c r="N442" t="s">
        <v>27</v>
      </c>
      <c r="O442">
        <v>5340</v>
      </c>
      <c r="P442">
        <v>267</v>
      </c>
      <c r="Q442">
        <v>5073</v>
      </c>
      <c r="R442">
        <v>3</v>
      </c>
    </row>
    <row r="443" spans="1:18">
      <c r="A443" t="s">
        <v>519</v>
      </c>
      <c r="B443" s="2">
        <v>46086</v>
      </c>
      <c r="C443" t="s">
        <v>40</v>
      </c>
      <c r="D443" t="s">
        <v>89</v>
      </c>
      <c r="E443" t="s">
        <v>21</v>
      </c>
      <c r="F443" t="s">
        <v>22</v>
      </c>
      <c r="G443" t="s">
        <v>32</v>
      </c>
      <c r="H443" t="s">
        <v>33</v>
      </c>
      <c r="I443">
        <v>3</v>
      </c>
      <c r="J443">
        <v>2530</v>
      </c>
      <c r="K443">
        <v>0.05</v>
      </c>
      <c r="L443" t="s">
        <v>64</v>
      </c>
      <c r="M443" t="s">
        <v>26</v>
      </c>
      <c r="N443" t="s">
        <v>27</v>
      </c>
      <c r="O443">
        <v>7590</v>
      </c>
      <c r="P443">
        <v>379.5</v>
      </c>
      <c r="Q443">
        <v>7210.5</v>
      </c>
      <c r="R443">
        <v>3</v>
      </c>
    </row>
    <row r="444" spans="1:18">
      <c r="A444" t="s">
        <v>520</v>
      </c>
      <c r="B444" s="2">
        <v>46087</v>
      </c>
      <c r="C444" t="s">
        <v>19</v>
      </c>
      <c r="D444" t="s">
        <v>57</v>
      </c>
      <c r="E444" t="s">
        <v>42</v>
      </c>
      <c r="F444" t="s">
        <v>31</v>
      </c>
      <c r="G444" t="s">
        <v>149</v>
      </c>
      <c r="H444" t="s">
        <v>33</v>
      </c>
      <c r="I444">
        <v>1</v>
      </c>
      <c r="J444">
        <v>3510</v>
      </c>
      <c r="K444">
        <v>0</v>
      </c>
      <c r="L444" t="s">
        <v>64</v>
      </c>
      <c r="M444" t="s">
        <v>55</v>
      </c>
      <c r="N444" t="s">
        <v>27</v>
      </c>
      <c r="O444">
        <v>3510</v>
      </c>
      <c r="P444">
        <v>0</v>
      </c>
      <c r="Q444">
        <v>3510</v>
      </c>
      <c r="R444">
        <v>2</v>
      </c>
    </row>
    <row r="445" spans="1:18">
      <c r="A445" t="s">
        <v>521</v>
      </c>
      <c r="B445" s="2">
        <v>46088</v>
      </c>
      <c r="C445" t="s">
        <v>19</v>
      </c>
      <c r="D445" t="s">
        <v>57</v>
      </c>
      <c r="E445" t="s">
        <v>42</v>
      </c>
      <c r="F445" t="s">
        <v>22</v>
      </c>
      <c r="G445" t="s">
        <v>43</v>
      </c>
      <c r="H445" t="s">
        <v>33</v>
      </c>
      <c r="I445">
        <v>1</v>
      </c>
      <c r="J445">
        <v>940</v>
      </c>
      <c r="K445">
        <v>0.05</v>
      </c>
      <c r="L445" t="s">
        <v>68</v>
      </c>
      <c r="M445" t="s">
        <v>66</v>
      </c>
      <c r="N445" t="s">
        <v>27</v>
      </c>
      <c r="O445">
        <v>940</v>
      </c>
      <c r="P445">
        <v>47</v>
      </c>
      <c r="Q445">
        <v>893</v>
      </c>
      <c r="R445">
        <v>3</v>
      </c>
    </row>
    <row r="446" spans="1:18">
      <c r="A446" t="s">
        <v>522</v>
      </c>
      <c r="B446" s="2">
        <v>46088</v>
      </c>
      <c r="C446" t="s">
        <v>19</v>
      </c>
      <c r="D446" t="s">
        <v>20</v>
      </c>
      <c r="E446" t="s">
        <v>42</v>
      </c>
      <c r="F446" t="s">
        <v>22</v>
      </c>
      <c r="G446" t="s">
        <v>43</v>
      </c>
      <c r="H446" t="s">
        <v>33</v>
      </c>
      <c r="I446">
        <v>1</v>
      </c>
      <c r="J446">
        <v>880</v>
      </c>
      <c r="K446">
        <v>0</v>
      </c>
      <c r="L446" t="s">
        <v>68</v>
      </c>
      <c r="M446" t="s">
        <v>35</v>
      </c>
      <c r="N446" t="s">
        <v>27</v>
      </c>
      <c r="O446">
        <v>880</v>
      </c>
      <c r="P446">
        <v>0</v>
      </c>
      <c r="Q446">
        <v>880</v>
      </c>
      <c r="R446">
        <v>1</v>
      </c>
    </row>
    <row r="447" spans="1:18">
      <c r="A447" t="s">
        <v>523</v>
      </c>
      <c r="B447" s="2">
        <v>46088</v>
      </c>
      <c r="C447" t="s">
        <v>40</v>
      </c>
      <c r="D447" t="s">
        <v>47</v>
      </c>
      <c r="E447" t="s">
        <v>42</v>
      </c>
      <c r="F447" t="s">
        <v>22</v>
      </c>
      <c r="G447" t="s">
        <v>37</v>
      </c>
      <c r="H447" t="s">
        <v>24</v>
      </c>
      <c r="I447">
        <v>2</v>
      </c>
      <c r="J447">
        <v>62980</v>
      </c>
      <c r="K447">
        <v>0.1</v>
      </c>
      <c r="L447" t="s">
        <v>64</v>
      </c>
      <c r="M447" t="s">
        <v>44</v>
      </c>
      <c r="N447" t="s">
        <v>27</v>
      </c>
      <c r="O447">
        <v>125960</v>
      </c>
      <c r="P447">
        <v>12596</v>
      </c>
      <c r="Q447">
        <v>113364</v>
      </c>
      <c r="R447">
        <v>6</v>
      </c>
    </row>
    <row r="448" spans="1:18">
      <c r="A448" t="s">
        <v>524</v>
      </c>
      <c r="B448" s="2">
        <v>46089</v>
      </c>
      <c r="C448" t="s">
        <v>29</v>
      </c>
      <c r="D448" t="s">
        <v>85</v>
      </c>
      <c r="E448" t="s">
        <v>42</v>
      </c>
      <c r="F448" t="s">
        <v>22</v>
      </c>
      <c r="G448" t="s">
        <v>92</v>
      </c>
      <c r="H448" t="s">
        <v>24</v>
      </c>
      <c r="I448">
        <v>4</v>
      </c>
      <c r="J448">
        <v>17650</v>
      </c>
      <c r="K448">
        <v>0.08</v>
      </c>
      <c r="L448" t="s">
        <v>64</v>
      </c>
      <c r="M448" t="s">
        <v>38</v>
      </c>
      <c r="N448" t="s">
        <v>27</v>
      </c>
      <c r="O448">
        <v>70600</v>
      </c>
      <c r="P448">
        <v>5648</v>
      </c>
      <c r="Q448">
        <v>64952</v>
      </c>
      <c r="R448">
        <v>4</v>
      </c>
    </row>
    <row r="449" spans="1:18">
      <c r="A449" t="s">
        <v>525</v>
      </c>
      <c r="B449" s="2">
        <v>46089</v>
      </c>
      <c r="C449" t="s">
        <v>40</v>
      </c>
      <c r="D449" t="s">
        <v>115</v>
      </c>
      <c r="E449" t="s">
        <v>21</v>
      </c>
      <c r="F449" t="s">
        <v>22</v>
      </c>
      <c r="G449" t="s">
        <v>73</v>
      </c>
      <c r="H449" t="s">
        <v>74</v>
      </c>
      <c r="I449">
        <v>4</v>
      </c>
      <c r="J449">
        <v>11280</v>
      </c>
      <c r="K449">
        <v>0.08</v>
      </c>
      <c r="L449" t="s">
        <v>54</v>
      </c>
      <c r="M449" t="s">
        <v>44</v>
      </c>
      <c r="N449" t="s">
        <v>27</v>
      </c>
      <c r="O449">
        <v>45120</v>
      </c>
      <c r="P449">
        <v>3609.6</v>
      </c>
      <c r="Q449">
        <v>41510.400000000001</v>
      </c>
      <c r="R449">
        <v>6</v>
      </c>
    </row>
    <row r="450" spans="1:18">
      <c r="A450" t="s">
        <v>526</v>
      </c>
      <c r="B450" s="2">
        <v>46089</v>
      </c>
      <c r="C450" t="s">
        <v>19</v>
      </c>
      <c r="D450" t="s">
        <v>52</v>
      </c>
      <c r="E450" t="s">
        <v>42</v>
      </c>
      <c r="F450" t="s">
        <v>22</v>
      </c>
      <c r="G450" t="s">
        <v>23</v>
      </c>
      <c r="H450" t="s">
        <v>24</v>
      </c>
      <c r="I450">
        <v>1</v>
      </c>
      <c r="J450">
        <v>28780</v>
      </c>
      <c r="K450">
        <v>0.05</v>
      </c>
      <c r="L450" t="s">
        <v>34</v>
      </c>
      <c r="M450" t="s">
        <v>35</v>
      </c>
      <c r="N450" t="s">
        <v>27</v>
      </c>
      <c r="O450">
        <v>28780</v>
      </c>
      <c r="P450">
        <v>1439</v>
      </c>
      <c r="Q450">
        <v>27341</v>
      </c>
      <c r="R450">
        <v>3</v>
      </c>
    </row>
    <row r="451" spans="1:18">
      <c r="A451" t="s">
        <v>527</v>
      </c>
      <c r="B451" s="2">
        <v>46091</v>
      </c>
      <c r="C451" t="s">
        <v>29</v>
      </c>
      <c r="D451" t="s">
        <v>30</v>
      </c>
      <c r="E451" t="s">
        <v>42</v>
      </c>
      <c r="F451" t="s">
        <v>22</v>
      </c>
      <c r="G451" t="s">
        <v>105</v>
      </c>
      <c r="H451" t="s">
        <v>24</v>
      </c>
      <c r="I451">
        <v>1</v>
      </c>
      <c r="J451">
        <v>3250</v>
      </c>
      <c r="K451">
        <v>0.05</v>
      </c>
      <c r="L451" t="s">
        <v>68</v>
      </c>
      <c r="M451" t="s">
        <v>38</v>
      </c>
      <c r="N451" t="s">
        <v>27</v>
      </c>
      <c r="O451">
        <v>3250</v>
      </c>
      <c r="P451">
        <v>162.5</v>
      </c>
      <c r="Q451">
        <v>3087.5</v>
      </c>
      <c r="R451">
        <v>3</v>
      </c>
    </row>
    <row r="452" spans="1:18">
      <c r="A452" t="s">
        <v>528</v>
      </c>
      <c r="B452" s="2">
        <v>46091</v>
      </c>
      <c r="C452" t="s">
        <v>82</v>
      </c>
      <c r="D452" t="s">
        <v>83</v>
      </c>
      <c r="E452" t="s">
        <v>21</v>
      </c>
      <c r="F452" t="s">
        <v>31</v>
      </c>
      <c r="G452" t="s">
        <v>62</v>
      </c>
      <c r="H452" t="s">
        <v>33</v>
      </c>
      <c r="I452">
        <v>2</v>
      </c>
      <c r="J452">
        <v>1710</v>
      </c>
      <c r="K452">
        <v>0.05</v>
      </c>
      <c r="L452" t="s">
        <v>34</v>
      </c>
      <c r="M452" t="s">
        <v>71</v>
      </c>
      <c r="N452" t="s">
        <v>27</v>
      </c>
      <c r="O452">
        <v>3420</v>
      </c>
      <c r="P452">
        <v>171</v>
      </c>
      <c r="Q452">
        <v>3249</v>
      </c>
      <c r="R452">
        <v>1</v>
      </c>
    </row>
    <row r="453" spans="1:18">
      <c r="A453" t="s">
        <v>529</v>
      </c>
      <c r="B453" s="2">
        <v>46092</v>
      </c>
      <c r="C453" t="s">
        <v>40</v>
      </c>
      <c r="D453" t="s">
        <v>41</v>
      </c>
      <c r="E453" t="s">
        <v>21</v>
      </c>
      <c r="F453" t="s">
        <v>22</v>
      </c>
      <c r="G453" t="s">
        <v>37</v>
      </c>
      <c r="H453" t="s">
        <v>24</v>
      </c>
      <c r="I453">
        <v>5</v>
      </c>
      <c r="J453">
        <v>59270</v>
      </c>
      <c r="K453">
        <v>0.1</v>
      </c>
      <c r="L453" t="s">
        <v>64</v>
      </c>
      <c r="M453" t="s">
        <v>35</v>
      </c>
      <c r="N453" t="s">
        <v>27</v>
      </c>
      <c r="O453">
        <v>296350</v>
      </c>
      <c r="P453">
        <v>29635</v>
      </c>
      <c r="Q453">
        <v>266715</v>
      </c>
      <c r="R453">
        <v>2</v>
      </c>
    </row>
    <row r="454" spans="1:18">
      <c r="A454" t="s">
        <v>530</v>
      </c>
      <c r="B454" s="2">
        <v>46093</v>
      </c>
      <c r="C454" t="s">
        <v>40</v>
      </c>
      <c r="D454" t="s">
        <v>47</v>
      </c>
      <c r="E454" t="s">
        <v>21</v>
      </c>
      <c r="F454" t="s">
        <v>22</v>
      </c>
      <c r="G454" t="s">
        <v>37</v>
      </c>
      <c r="H454" t="s">
        <v>24</v>
      </c>
      <c r="I454">
        <v>4</v>
      </c>
      <c r="J454">
        <v>63340</v>
      </c>
      <c r="K454">
        <v>0.05</v>
      </c>
      <c r="L454" t="s">
        <v>68</v>
      </c>
      <c r="M454" t="s">
        <v>26</v>
      </c>
      <c r="N454" t="s">
        <v>27</v>
      </c>
      <c r="O454">
        <v>253360</v>
      </c>
      <c r="P454">
        <v>12668</v>
      </c>
      <c r="Q454">
        <v>240692</v>
      </c>
      <c r="R454">
        <v>2</v>
      </c>
    </row>
    <row r="455" spans="1:18">
      <c r="A455" t="s">
        <v>531</v>
      </c>
      <c r="B455" s="2">
        <v>46093</v>
      </c>
      <c r="C455" t="s">
        <v>19</v>
      </c>
      <c r="D455" t="s">
        <v>103</v>
      </c>
      <c r="E455" t="s">
        <v>70</v>
      </c>
      <c r="F455" t="s">
        <v>22</v>
      </c>
      <c r="G455" t="s">
        <v>23</v>
      </c>
      <c r="H455" t="s">
        <v>24</v>
      </c>
      <c r="I455">
        <v>4</v>
      </c>
      <c r="J455">
        <v>29210</v>
      </c>
      <c r="K455">
        <v>0</v>
      </c>
      <c r="L455" t="s">
        <v>68</v>
      </c>
      <c r="M455" t="s">
        <v>35</v>
      </c>
      <c r="N455" t="s">
        <v>27</v>
      </c>
      <c r="O455">
        <v>116840</v>
      </c>
      <c r="P455">
        <v>0</v>
      </c>
      <c r="Q455">
        <v>116840</v>
      </c>
      <c r="R455">
        <v>2</v>
      </c>
    </row>
    <row r="456" spans="1:18">
      <c r="A456" t="s">
        <v>532</v>
      </c>
      <c r="B456" s="2">
        <v>46093</v>
      </c>
      <c r="C456" t="s">
        <v>29</v>
      </c>
      <c r="D456" t="s">
        <v>61</v>
      </c>
      <c r="E456" t="s">
        <v>21</v>
      </c>
      <c r="F456" t="s">
        <v>31</v>
      </c>
      <c r="G456" t="s">
        <v>152</v>
      </c>
      <c r="H456" t="s">
        <v>74</v>
      </c>
      <c r="I456">
        <v>1</v>
      </c>
      <c r="J456">
        <v>13930</v>
      </c>
      <c r="K456">
        <v>0</v>
      </c>
      <c r="L456" t="s">
        <v>64</v>
      </c>
      <c r="M456" t="s">
        <v>66</v>
      </c>
      <c r="N456" t="s">
        <v>27</v>
      </c>
      <c r="O456">
        <v>13930</v>
      </c>
      <c r="P456">
        <v>0</v>
      </c>
      <c r="Q456">
        <v>13930</v>
      </c>
      <c r="R456">
        <v>1</v>
      </c>
    </row>
    <row r="457" spans="1:18">
      <c r="A457" t="s">
        <v>533</v>
      </c>
      <c r="B457" s="2">
        <v>46094</v>
      </c>
      <c r="C457" t="s">
        <v>40</v>
      </c>
      <c r="D457" t="s">
        <v>89</v>
      </c>
      <c r="E457" t="s">
        <v>21</v>
      </c>
      <c r="F457" t="s">
        <v>22</v>
      </c>
      <c r="G457" t="s">
        <v>101</v>
      </c>
      <c r="H457" t="s">
        <v>33</v>
      </c>
      <c r="I457">
        <v>1</v>
      </c>
      <c r="J457">
        <v>1700</v>
      </c>
      <c r="K457">
        <v>0.08</v>
      </c>
      <c r="L457" t="s">
        <v>64</v>
      </c>
      <c r="M457" t="s">
        <v>71</v>
      </c>
      <c r="N457" t="s">
        <v>27</v>
      </c>
      <c r="O457">
        <v>1700</v>
      </c>
      <c r="P457">
        <v>136</v>
      </c>
      <c r="Q457">
        <v>1564</v>
      </c>
      <c r="R457">
        <v>2</v>
      </c>
    </row>
    <row r="458" spans="1:18">
      <c r="A458" t="s">
        <v>534</v>
      </c>
      <c r="B458" s="2">
        <v>46095</v>
      </c>
      <c r="C458" t="s">
        <v>40</v>
      </c>
      <c r="D458" t="s">
        <v>89</v>
      </c>
      <c r="E458" t="s">
        <v>70</v>
      </c>
      <c r="F458" t="s">
        <v>53</v>
      </c>
      <c r="G458" t="s">
        <v>73</v>
      </c>
      <c r="H458" t="s">
        <v>74</v>
      </c>
      <c r="I458">
        <v>3</v>
      </c>
      <c r="J458">
        <v>11540</v>
      </c>
      <c r="K458">
        <v>0.08</v>
      </c>
      <c r="L458" t="s">
        <v>34</v>
      </c>
      <c r="M458" t="s">
        <v>26</v>
      </c>
      <c r="N458" t="s">
        <v>27</v>
      </c>
      <c r="O458">
        <v>34620</v>
      </c>
      <c r="P458">
        <v>2769.6</v>
      </c>
      <c r="Q458">
        <v>31850.400000000001</v>
      </c>
      <c r="R458">
        <v>4</v>
      </c>
    </row>
    <row r="459" spans="1:18">
      <c r="A459" t="s">
        <v>535</v>
      </c>
      <c r="B459" s="2">
        <v>46095</v>
      </c>
      <c r="C459" t="s">
        <v>82</v>
      </c>
      <c r="D459" t="s">
        <v>178</v>
      </c>
      <c r="E459" t="s">
        <v>42</v>
      </c>
      <c r="F459" t="s">
        <v>53</v>
      </c>
      <c r="G459" t="s">
        <v>152</v>
      </c>
      <c r="H459" t="s">
        <v>74</v>
      </c>
      <c r="I459">
        <v>4</v>
      </c>
      <c r="J459">
        <v>14870</v>
      </c>
      <c r="K459">
        <v>0.05</v>
      </c>
      <c r="L459" t="s">
        <v>68</v>
      </c>
      <c r="M459" t="s">
        <v>71</v>
      </c>
      <c r="N459" t="s">
        <v>130</v>
      </c>
      <c r="O459">
        <v>59480</v>
      </c>
      <c r="P459">
        <v>2974</v>
      </c>
      <c r="Q459">
        <v>56506</v>
      </c>
      <c r="R459">
        <v>4</v>
      </c>
    </row>
    <row r="460" spans="1:18">
      <c r="A460" t="s">
        <v>536</v>
      </c>
      <c r="B460" s="2">
        <v>46095</v>
      </c>
      <c r="C460" t="s">
        <v>29</v>
      </c>
      <c r="D460" t="s">
        <v>30</v>
      </c>
      <c r="E460" t="s">
        <v>70</v>
      </c>
      <c r="F460" t="s">
        <v>22</v>
      </c>
      <c r="G460" t="s">
        <v>73</v>
      </c>
      <c r="H460" t="s">
        <v>74</v>
      </c>
      <c r="I460">
        <v>3</v>
      </c>
      <c r="J460">
        <v>10740</v>
      </c>
      <c r="K460">
        <v>0.08</v>
      </c>
      <c r="L460" t="s">
        <v>64</v>
      </c>
      <c r="M460" t="s">
        <v>55</v>
      </c>
      <c r="N460" t="s">
        <v>27</v>
      </c>
      <c r="O460">
        <v>32220</v>
      </c>
      <c r="P460">
        <v>2577.6</v>
      </c>
      <c r="Q460">
        <v>29642.400000000001</v>
      </c>
      <c r="R460">
        <v>3</v>
      </c>
    </row>
    <row r="461" spans="1:18">
      <c r="A461" t="s">
        <v>537</v>
      </c>
      <c r="B461" s="2">
        <v>46095</v>
      </c>
      <c r="C461" t="s">
        <v>82</v>
      </c>
      <c r="D461" t="s">
        <v>178</v>
      </c>
      <c r="E461" t="s">
        <v>21</v>
      </c>
      <c r="F461" t="s">
        <v>22</v>
      </c>
      <c r="G461" t="s">
        <v>152</v>
      </c>
      <c r="H461" t="s">
        <v>74</v>
      </c>
      <c r="I461">
        <v>1</v>
      </c>
      <c r="J461">
        <v>15490</v>
      </c>
      <c r="K461">
        <v>0.08</v>
      </c>
      <c r="L461" t="s">
        <v>64</v>
      </c>
      <c r="M461" t="s">
        <v>50</v>
      </c>
      <c r="N461" t="s">
        <v>27</v>
      </c>
      <c r="O461">
        <v>15490</v>
      </c>
      <c r="P461">
        <v>1239.2</v>
      </c>
      <c r="Q461">
        <v>14250.8</v>
      </c>
      <c r="R461">
        <v>3</v>
      </c>
    </row>
    <row r="462" spans="1:18">
      <c r="A462" t="s">
        <v>538</v>
      </c>
      <c r="B462" s="2">
        <v>46096</v>
      </c>
      <c r="C462" t="s">
        <v>40</v>
      </c>
      <c r="D462" t="s">
        <v>115</v>
      </c>
      <c r="E462" t="s">
        <v>21</v>
      </c>
      <c r="F462" t="s">
        <v>22</v>
      </c>
      <c r="G462" t="s">
        <v>105</v>
      </c>
      <c r="H462" t="s">
        <v>24</v>
      </c>
      <c r="I462">
        <v>1</v>
      </c>
      <c r="J462">
        <v>3370</v>
      </c>
      <c r="K462">
        <v>0.05</v>
      </c>
      <c r="L462" t="s">
        <v>64</v>
      </c>
      <c r="M462" t="s">
        <v>50</v>
      </c>
      <c r="N462" t="s">
        <v>27</v>
      </c>
      <c r="O462">
        <v>3370</v>
      </c>
      <c r="P462">
        <v>168.5</v>
      </c>
      <c r="Q462">
        <v>3201.5</v>
      </c>
      <c r="R462">
        <v>2</v>
      </c>
    </row>
    <row r="463" spans="1:18">
      <c r="A463" t="s">
        <v>539</v>
      </c>
      <c r="B463" s="2">
        <v>46097</v>
      </c>
      <c r="C463" t="s">
        <v>40</v>
      </c>
      <c r="D463" t="s">
        <v>41</v>
      </c>
      <c r="E463" t="s">
        <v>70</v>
      </c>
      <c r="F463" t="s">
        <v>53</v>
      </c>
      <c r="G463" t="s">
        <v>105</v>
      </c>
      <c r="H463" t="s">
        <v>24</v>
      </c>
      <c r="I463">
        <v>2</v>
      </c>
      <c r="J463">
        <v>3230</v>
      </c>
      <c r="K463">
        <v>0.08</v>
      </c>
      <c r="L463" t="s">
        <v>34</v>
      </c>
      <c r="M463" t="s">
        <v>38</v>
      </c>
      <c r="N463" t="s">
        <v>27</v>
      </c>
      <c r="O463">
        <v>6460</v>
      </c>
      <c r="P463">
        <v>516.79999999999995</v>
      </c>
      <c r="Q463">
        <v>5943.2</v>
      </c>
      <c r="R463">
        <v>2</v>
      </c>
    </row>
    <row r="464" spans="1:18">
      <c r="A464" t="s">
        <v>540</v>
      </c>
      <c r="B464" s="2">
        <v>46097</v>
      </c>
      <c r="C464" t="s">
        <v>19</v>
      </c>
      <c r="D464" t="s">
        <v>103</v>
      </c>
      <c r="E464" t="s">
        <v>70</v>
      </c>
      <c r="F464" t="s">
        <v>22</v>
      </c>
      <c r="G464" t="s">
        <v>73</v>
      </c>
      <c r="H464" t="s">
        <v>74</v>
      </c>
      <c r="I464">
        <v>1</v>
      </c>
      <c r="J464">
        <v>11270</v>
      </c>
      <c r="K464">
        <v>0.05</v>
      </c>
      <c r="L464" t="s">
        <v>54</v>
      </c>
      <c r="M464" t="s">
        <v>44</v>
      </c>
      <c r="N464" t="s">
        <v>27</v>
      </c>
      <c r="O464">
        <v>11270</v>
      </c>
      <c r="P464">
        <v>563.5</v>
      </c>
      <c r="Q464">
        <v>10706.5</v>
      </c>
      <c r="R464">
        <v>3</v>
      </c>
    </row>
    <row r="465" spans="1:18">
      <c r="A465" t="s">
        <v>541</v>
      </c>
      <c r="B465" s="2">
        <v>46098</v>
      </c>
      <c r="C465" t="s">
        <v>40</v>
      </c>
      <c r="D465" t="s">
        <v>41</v>
      </c>
      <c r="E465" t="s">
        <v>42</v>
      </c>
      <c r="F465" t="s">
        <v>22</v>
      </c>
      <c r="G465" t="s">
        <v>62</v>
      </c>
      <c r="H465" t="s">
        <v>33</v>
      </c>
      <c r="I465">
        <v>5</v>
      </c>
      <c r="J465">
        <v>1750</v>
      </c>
      <c r="K465">
        <v>0.1</v>
      </c>
      <c r="L465" t="s">
        <v>68</v>
      </c>
      <c r="M465" t="s">
        <v>35</v>
      </c>
      <c r="N465" t="s">
        <v>130</v>
      </c>
      <c r="O465">
        <v>8750</v>
      </c>
      <c r="P465">
        <v>875</v>
      </c>
      <c r="Q465">
        <v>7875</v>
      </c>
      <c r="R465">
        <v>3</v>
      </c>
    </row>
    <row r="466" spans="1:18">
      <c r="A466" t="s">
        <v>542</v>
      </c>
      <c r="B466" s="2">
        <v>46099</v>
      </c>
      <c r="C466" t="s">
        <v>19</v>
      </c>
      <c r="D466" t="s">
        <v>52</v>
      </c>
      <c r="E466" t="s">
        <v>42</v>
      </c>
      <c r="F466" t="s">
        <v>31</v>
      </c>
      <c r="G466" t="s">
        <v>23</v>
      </c>
      <c r="H466" t="s">
        <v>24</v>
      </c>
      <c r="I466">
        <v>1</v>
      </c>
      <c r="J466">
        <v>28130</v>
      </c>
      <c r="K466">
        <v>0.03</v>
      </c>
      <c r="L466" t="s">
        <v>54</v>
      </c>
      <c r="M466" t="s">
        <v>44</v>
      </c>
      <c r="N466" t="s">
        <v>27</v>
      </c>
      <c r="O466">
        <v>28130</v>
      </c>
      <c r="P466">
        <v>843.9</v>
      </c>
      <c r="Q466">
        <v>27286.1</v>
      </c>
      <c r="R466">
        <v>2</v>
      </c>
    </row>
    <row r="467" spans="1:18">
      <c r="A467" t="s">
        <v>543</v>
      </c>
      <c r="B467" s="2">
        <v>46100</v>
      </c>
      <c r="C467" t="s">
        <v>40</v>
      </c>
      <c r="D467" t="s">
        <v>47</v>
      </c>
      <c r="E467" t="s">
        <v>70</v>
      </c>
      <c r="F467" t="s">
        <v>53</v>
      </c>
      <c r="G467" t="s">
        <v>23</v>
      </c>
      <c r="H467" t="s">
        <v>24</v>
      </c>
      <c r="I467">
        <v>1</v>
      </c>
      <c r="J467">
        <v>28550</v>
      </c>
      <c r="K467">
        <v>0.05</v>
      </c>
      <c r="L467" t="s">
        <v>64</v>
      </c>
      <c r="M467" t="s">
        <v>50</v>
      </c>
      <c r="N467" t="s">
        <v>27</v>
      </c>
      <c r="O467">
        <v>28550</v>
      </c>
      <c r="P467">
        <v>1427.5</v>
      </c>
      <c r="Q467">
        <v>27122.5</v>
      </c>
      <c r="R467">
        <v>2</v>
      </c>
    </row>
    <row r="468" spans="1:18">
      <c r="A468" t="s">
        <v>544</v>
      </c>
      <c r="B468" s="2">
        <v>46100</v>
      </c>
      <c r="C468" t="s">
        <v>82</v>
      </c>
      <c r="D468" t="s">
        <v>122</v>
      </c>
      <c r="E468" t="s">
        <v>21</v>
      </c>
      <c r="F468" t="s">
        <v>31</v>
      </c>
      <c r="G468" t="s">
        <v>105</v>
      </c>
      <c r="H468" t="s">
        <v>24</v>
      </c>
      <c r="I468">
        <v>1</v>
      </c>
      <c r="J468">
        <v>3290</v>
      </c>
      <c r="K468">
        <v>0.08</v>
      </c>
      <c r="L468" t="s">
        <v>64</v>
      </c>
      <c r="M468" t="s">
        <v>55</v>
      </c>
      <c r="N468" t="s">
        <v>27</v>
      </c>
      <c r="O468">
        <v>3290</v>
      </c>
      <c r="P468">
        <v>263.2</v>
      </c>
      <c r="Q468">
        <v>3026.8</v>
      </c>
      <c r="R468">
        <v>4</v>
      </c>
    </row>
    <row r="469" spans="1:18">
      <c r="A469" t="s">
        <v>545</v>
      </c>
      <c r="B469" s="2">
        <v>46101</v>
      </c>
      <c r="C469" t="s">
        <v>29</v>
      </c>
      <c r="D469" t="s">
        <v>85</v>
      </c>
      <c r="E469" t="s">
        <v>42</v>
      </c>
      <c r="F469" t="s">
        <v>22</v>
      </c>
      <c r="G469" t="s">
        <v>23</v>
      </c>
      <c r="H469" t="s">
        <v>24</v>
      </c>
      <c r="I469">
        <v>4</v>
      </c>
      <c r="J469">
        <v>29130</v>
      </c>
      <c r="K469">
        <v>0</v>
      </c>
      <c r="L469" t="s">
        <v>54</v>
      </c>
      <c r="M469" t="s">
        <v>26</v>
      </c>
      <c r="N469" t="s">
        <v>27</v>
      </c>
      <c r="O469">
        <v>116520</v>
      </c>
      <c r="P469">
        <v>0</v>
      </c>
      <c r="Q469">
        <v>116520</v>
      </c>
      <c r="R469">
        <v>4</v>
      </c>
    </row>
    <row r="470" spans="1:18">
      <c r="A470" t="s">
        <v>546</v>
      </c>
      <c r="B470" s="2">
        <v>46101</v>
      </c>
      <c r="C470" t="s">
        <v>19</v>
      </c>
      <c r="D470" t="s">
        <v>52</v>
      </c>
      <c r="E470" t="s">
        <v>70</v>
      </c>
      <c r="F470" t="s">
        <v>53</v>
      </c>
      <c r="G470" t="s">
        <v>37</v>
      </c>
      <c r="H470" t="s">
        <v>24</v>
      </c>
      <c r="I470">
        <v>5</v>
      </c>
      <c r="J470">
        <v>63150</v>
      </c>
      <c r="K470">
        <v>0</v>
      </c>
      <c r="L470" t="s">
        <v>25</v>
      </c>
      <c r="M470" t="s">
        <v>66</v>
      </c>
      <c r="N470" t="s">
        <v>27</v>
      </c>
      <c r="O470">
        <v>315750</v>
      </c>
      <c r="P470">
        <v>0</v>
      </c>
      <c r="Q470">
        <v>315750</v>
      </c>
      <c r="R470">
        <v>2</v>
      </c>
    </row>
    <row r="471" spans="1:18">
      <c r="A471" t="s">
        <v>547</v>
      </c>
      <c r="B471" s="2">
        <v>46101</v>
      </c>
      <c r="C471" t="s">
        <v>40</v>
      </c>
      <c r="D471" t="s">
        <v>115</v>
      </c>
      <c r="E471" t="s">
        <v>21</v>
      </c>
      <c r="F471" t="s">
        <v>31</v>
      </c>
      <c r="G471" t="s">
        <v>43</v>
      </c>
      <c r="H471" t="s">
        <v>33</v>
      </c>
      <c r="I471">
        <v>3</v>
      </c>
      <c r="J471">
        <v>960</v>
      </c>
      <c r="K471">
        <v>0.03</v>
      </c>
      <c r="L471" t="s">
        <v>64</v>
      </c>
      <c r="M471" t="s">
        <v>35</v>
      </c>
      <c r="N471" t="s">
        <v>27</v>
      </c>
      <c r="O471">
        <v>2880</v>
      </c>
      <c r="P471">
        <v>86.4</v>
      </c>
      <c r="Q471">
        <v>2793.6</v>
      </c>
      <c r="R471">
        <v>2</v>
      </c>
    </row>
    <row r="472" spans="1:18">
      <c r="A472" t="s">
        <v>548</v>
      </c>
      <c r="B472" s="2">
        <v>46102</v>
      </c>
      <c r="C472" t="s">
        <v>29</v>
      </c>
      <c r="D472" t="s">
        <v>85</v>
      </c>
      <c r="E472" t="s">
        <v>42</v>
      </c>
      <c r="F472" t="s">
        <v>22</v>
      </c>
      <c r="G472" t="s">
        <v>95</v>
      </c>
      <c r="H472" t="s">
        <v>24</v>
      </c>
      <c r="I472">
        <v>3</v>
      </c>
      <c r="J472">
        <v>21530</v>
      </c>
      <c r="K472">
        <v>0.05</v>
      </c>
      <c r="L472" t="s">
        <v>54</v>
      </c>
      <c r="M472" t="s">
        <v>66</v>
      </c>
      <c r="N472" t="s">
        <v>27</v>
      </c>
      <c r="O472">
        <v>64590</v>
      </c>
      <c r="P472">
        <v>3229.5</v>
      </c>
      <c r="Q472">
        <v>61360.5</v>
      </c>
      <c r="R472">
        <v>4</v>
      </c>
    </row>
    <row r="473" spans="1:18">
      <c r="A473" t="s">
        <v>549</v>
      </c>
      <c r="B473" s="2">
        <v>46102</v>
      </c>
      <c r="C473" t="s">
        <v>40</v>
      </c>
      <c r="D473" t="s">
        <v>47</v>
      </c>
      <c r="E473" t="s">
        <v>42</v>
      </c>
      <c r="F473" t="s">
        <v>22</v>
      </c>
      <c r="G473" t="s">
        <v>101</v>
      </c>
      <c r="H473" t="s">
        <v>33</v>
      </c>
      <c r="I473">
        <v>1</v>
      </c>
      <c r="J473">
        <v>1790</v>
      </c>
      <c r="K473">
        <v>0</v>
      </c>
      <c r="L473" t="s">
        <v>64</v>
      </c>
      <c r="M473" t="s">
        <v>50</v>
      </c>
      <c r="N473" t="s">
        <v>27</v>
      </c>
      <c r="O473">
        <v>1790</v>
      </c>
      <c r="P473">
        <v>0</v>
      </c>
      <c r="Q473">
        <v>1790</v>
      </c>
      <c r="R473">
        <v>4</v>
      </c>
    </row>
    <row r="474" spans="1:18">
      <c r="A474" t="s">
        <v>550</v>
      </c>
      <c r="B474" s="2">
        <v>46103</v>
      </c>
      <c r="C474" t="s">
        <v>40</v>
      </c>
      <c r="D474" t="s">
        <v>41</v>
      </c>
      <c r="E474" t="s">
        <v>21</v>
      </c>
      <c r="F474" t="s">
        <v>22</v>
      </c>
      <c r="G474" t="s">
        <v>73</v>
      </c>
      <c r="H474" t="s">
        <v>74</v>
      </c>
      <c r="I474">
        <v>5</v>
      </c>
      <c r="J474">
        <v>11440</v>
      </c>
      <c r="K474">
        <v>0</v>
      </c>
      <c r="L474" t="s">
        <v>64</v>
      </c>
      <c r="M474" t="s">
        <v>50</v>
      </c>
      <c r="N474" t="s">
        <v>27</v>
      </c>
      <c r="O474">
        <v>57200</v>
      </c>
      <c r="P474">
        <v>0</v>
      </c>
      <c r="Q474">
        <v>57200</v>
      </c>
      <c r="R474">
        <v>4</v>
      </c>
    </row>
    <row r="475" spans="1:18">
      <c r="A475" t="s">
        <v>551</v>
      </c>
      <c r="B475" s="2">
        <v>46104</v>
      </c>
      <c r="C475" t="s">
        <v>82</v>
      </c>
      <c r="D475" t="s">
        <v>83</v>
      </c>
      <c r="E475" t="s">
        <v>42</v>
      </c>
      <c r="F475" t="s">
        <v>22</v>
      </c>
      <c r="G475" t="s">
        <v>149</v>
      </c>
      <c r="H475" t="s">
        <v>33</v>
      </c>
      <c r="I475">
        <v>3</v>
      </c>
      <c r="J475">
        <v>3760</v>
      </c>
      <c r="K475">
        <v>0</v>
      </c>
      <c r="L475" t="s">
        <v>68</v>
      </c>
      <c r="M475" t="s">
        <v>44</v>
      </c>
      <c r="N475" t="s">
        <v>27</v>
      </c>
      <c r="O475">
        <v>11280</v>
      </c>
      <c r="P475">
        <v>0</v>
      </c>
      <c r="Q475">
        <v>11280</v>
      </c>
      <c r="R475">
        <v>1</v>
      </c>
    </row>
    <row r="476" spans="1:18">
      <c r="A476" t="s">
        <v>552</v>
      </c>
      <c r="B476" s="2">
        <v>46104</v>
      </c>
      <c r="C476" t="s">
        <v>29</v>
      </c>
      <c r="D476" t="s">
        <v>30</v>
      </c>
      <c r="E476" t="s">
        <v>21</v>
      </c>
      <c r="F476" t="s">
        <v>22</v>
      </c>
      <c r="G476" t="s">
        <v>23</v>
      </c>
      <c r="H476" t="s">
        <v>24</v>
      </c>
      <c r="I476">
        <v>1</v>
      </c>
      <c r="J476">
        <v>26430</v>
      </c>
      <c r="K476">
        <v>0.03</v>
      </c>
      <c r="L476" t="s">
        <v>68</v>
      </c>
      <c r="M476" t="s">
        <v>44</v>
      </c>
      <c r="N476" t="s">
        <v>27</v>
      </c>
      <c r="O476">
        <v>26430</v>
      </c>
      <c r="P476">
        <v>792.9</v>
      </c>
      <c r="Q476">
        <v>25637.1</v>
      </c>
      <c r="R476">
        <v>3</v>
      </c>
    </row>
    <row r="477" spans="1:18">
      <c r="A477" t="s">
        <v>553</v>
      </c>
      <c r="B477" s="2">
        <v>46105</v>
      </c>
      <c r="C477" t="s">
        <v>40</v>
      </c>
      <c r="D477" t="s">
        <v>41</v>
      </c>
      <c r="E477" t="s">
        <v>42</v>
      </c>
      <c r="F477" t="s">
        <v>22</v>
      </c>
      <c r="G477" t="s">
        <v>37</v>
      </c>
      <c r="H477" t="s">
        <v>24</v>
      </c>
      <c r="I477">
        <v>2</v>
      </c>
      <c r="J477">
        <v>58380</v>
      </c>
      <c r="K477">
        <v>0.03</v>
      </c>
      <c r="L477" t="s">
        <v>68</v>
      </c>
      <c r="M477" t="s">
        <v>55</v>
      </c>
      <c r="N477" t="s">
        <v>27</v>
      </c>
      <c r="O477">
        <v>116760</v>
      </c>
      <c r="P477">
        <v>3502.8</v>
      </c>
      <c r="Q477">
        <v>113257.2</v>
      </c>
      <c r="R477">
        <v>6</v>
      </c>
    </row>
    <row r="478" spans="1:18">
      <c r="A478" t="s">
        <v>554</v>
      </c>
      <c r="B478" s="2">
        <v>46105</v>
      </c>
      <c r="C478" t="s">
        <v>40</v>
      </c>
      <c r="D478" t="s">
        <v>47</v>
      </c>
      <c r="E478" t="s">
        <v>42</v>
      </c>
      <c r="F478" t="s">
        <v>22</v>
      </c>
      <c r="G478" t="s">
        <v>37</v>
      </c>
      <c r="H478" t="s">
        <v>24</v>
      </c>
      <c r="I478">
        <v>1</v>
      </c>
      <c r="J478">
        <v>65260</v>
      </c>
      <c r="K478">
        <v>0</v>
      </c>
      <c r="L478" t="s">
        <v>25</v>
      </c>
      <c r="M478" t="s">
        <v>50</v>
      </c>
      <c r="N478" t="s">
        <v>27</v>
      </c>
      <c r="O478">
        <v>65260</v>
      </c>
      <c r="P478">
        <v>0</v>
      </c>
      <c r="Q478">
        <v>65260</v>
      </c>
      <c r="R478">
        <v>3</v>
      </c>
    </row>
    <row r="479" spans="1:18">
      <c r="A479" t="s">
        <v>555</v>
      </c>
      <c r="B479" s="2">
        <v>46105</v>
      </c>
      <c r="C479" t="s">
        <v>40</v>
      </c>
      <c r="D479" t="s">
        <v>115</v>
      </c>
      <c r="E479" t="s">
        <v>21</v>
      </c>
      <c r="F479" t="s">
        <v>22</v>
      </c>
      <c r="G479" t="s">
        <v>58</v>
      </c>
      <c r="H479" t="s">
        <v>59</v>
      </c>
      <c r="I479">
        <v>3</v>
      </c>
      <c r="J479">
        <v>7280</v>
      </c>
      <c r="K479">
        <v>0</v>
      </c>
      <c r="L479" t="s">
        <v>64</v>
      </c>
      <c r="M479" t="s">
        <v>55</v>
      </c>
      <c r="N479" t="s">
        <v>27</v>
      </c>
      <c r="O479">
        <v>21840</v>
      </c>
      <c r="P479">
        <v>0</v>
      </c>
      <c r="Q479">
        <v>21840</v>
      </c>
      <c r="R479">
        <v>4</v>
      </c>
    </row>
    <row r="480" spans="1:18">
      <c r="A480" t="s">
        <v>556</v>
      </c>
      <c r="B480" s="2">
        <v>46106</v>
      </c>
      <c r="C480" t="s">
        <v>19</v>
      </c>
      <c r="D480" t="s">
        <v>52</v>
      </c>
      <c r="E480" t="s">
        <v>21</v>
      </c>
      <c r="F480" t="s">
        <v>31</v>
      </c>
      <c r="G480" t="s">
        <v>105</v>
      </c>
      <c r="H480" t="s">
        <v>24</v>
      </c>
      <c r="I480">
        <v>1</v>
      </c>
      <c r="J480">
        <v>3200</v>
      </c>
      <c r="K480">
        <v>0</v>
      </c>
      <c r="L480" t="s">
        <v>25</v>
      </c>
      <c r="M480" t="s">
        <v>71</v>
      </c>
      <c r="N480" t="s">
        <v>27</v>
      </c>
      <c r="O480">
        <v>3200</v>
      </c>
      <c r="P480">
        <v>0</v>
      </c>
      <c r="Q480">
        <v>3200</v>
      </c>
      <c r="R480">
        <v>3</v>
      </c>
    </row>
    <row r="481" spans="1:18">
      <c r="A481" t="s">
        <v>557</v>
      </c>
      <c r="B481" s="2">
        <v>46107</v>
      </c>
      <c r="C481" t="s">
        <v>29</v>
      </c>
      <c r="D481" t="s">
        <v>85</v>
      </c>
      <c r="E481" t="s">
        <v>21</v>
      </c>
      <c r="F481" t="s">
        <v>22</v>
      </c>
      <c r="G481" t="s">
        <v>48</v>
      </c>
      <c r="H481" t="s">
        <v>49</v>
      </c>
      <c r="I481">
        <v>2</v>
      </c>
      <c r="J481">
        <v>12720</v>
      </c>
      <c r="K481">
        <v>0.08</v>
      </c>
      <c r="L481" t="s">
        <v>64</v>
      </c>
      <c r="M481" t="s">
        <v>55</v>
      </c>
      <c r="N481" t="s">
        <v>27</v>
      </c>
      <c r="O481">
        <v>25440</v>
      </c>
      <c r="P481">
        <v>2035.2</v>
      </c>
      <c r="Q481">
        <v>23404.799999999999</v>
      </c>
      <c r="R481">
        <v>2</v>
      </c>
    </row>
    <row r="482" spans="1:18">
      <c r="A482" t="s">
        <v>558</v>
      </c>
      <c r="B482" s="2">
        <v>46107</v>
      </c>
      <c r="C482" t="s">
        <v>40</v>
      </c>
      <c r="D482" t="s">
        <v>89</v>
      </c>
      <c r="E482" t="s">
        <v>42</v>
      </c>
      <c r="F482" t="s">
        <v>22</v>
      </c>
      <c r="G482" t="s">
        <v>105</v>
      </c>
      <c r="H482" t="s">
        <v>24</v>
      </c>
      <c r="I482">
        <v>1</v>
      </c>
      <c r="J482">
        <v>3240</v>
      </c>
      <c r="K482">
        <v>0.05</v>
      </c>
      <c r="L482" t="s">
        <v>25</v>
      </c>
      <c r="M482" t="s">
        <v>55</v>
      </c>
      <c r="N482" t="s">
        <v>27</v>
      </c>
      <c r="O482">
        <v>3240</v>
      </c>
      <c r="P482">
        <v>162</v>
      </c>
      <c r="Q482">
        <v>3078</v>
      </c>
      <c r="R482">
        <v>3</v>
      </c>
    </row>
    <row r="483" spans="1:18">
      <c r="A483" t="s">
        <v>559</v>
      </c>
      <c r="B483" s="2">
        <v>46107</v>
      </c>
      <c r="C483" t="s">
        <v>40</v>
      </c>
      <c r="E483" t="s">
        <v>21</v>
      </c>
      <c r="F483" t="s">
        <v>22</v>
      </c>
      <c r="G483" t="s">
        <v>152</v>
      </c>
      <c r="H483" t="s">
        <v>74</v>
      </c>
      <c r="I483">
        <v>5</v>
      </c>
      <c r="J483">
        <v>15490</v>
      </c>
      <c r="K483">
        <v>0</v>
      </c>
      <c r="L483" t="s">
        <v>54</v>
      </c>
      <c r="M483" t="s">
        <v>55</v>
      </c>
      <c r="N483" t="s">
        <v>27</v>
      </c>
      <c r="O483">
        <v>77450</v>
      </c>
      <c r="P483">
        <v>0</v>
      </c>
      <c r="Q483">
        <v>77450</v>
      </c>
      <c r="R483">
        <v>5</v>
      </c>
    </row>
    <row r="484" spans="1:18">
      <c r="A484" t="s">
        <v>560</v>
      </c>
      <c r="B484" s="2">
        <v>46107</v>
      </c>
      <c r="C484" t="s">
        <v>82</v>
      </c>
      <c r="D484" t="s">
        <v>122</v>
      </c>
      <c r="E484" t="s">
        <v>21</v>
      </c>
      <c r="F484" t="s">
        <v>22</v>
      </c>
      <c r="G484" t="s">
        <v>48</v>
      </c>
      <c r="H484" t="s">
        <v>49</v>
      </c>
      <c r="I484">
        <v>2</v>
      </c>
      <c r="J484">
        <v>12610</v>
      </c>
      <c r="K484">
        <v>0.08</v>
      </c>
      <c r="L484" t="s">
        <v>68</v>
      </c>
      <c r="M484" t="s">
        <v>35</v>
      </c>
      <c r="N484" t="s">
        <v>27</v>
      </c>
      <c r="O484">
        <v>25220</v>
      </c>
      <c r="P484">
        <v>2017.6</v>
      </c>
      <c r="Q484">
        <v>23202.400000000001</v>
      </c>
      <c r="R484">
        <v>1</v>
      </c>
    </row>
    <row r="485" spans="1:18">
      <c r="A485" t="s">
        <v>561</v>
      </c>
      <c r="B485" s="2">
        <v>46108</v>
      </c>
      <c r="C485" t="s">
        <v>29</v>
      </c>
      <c r="D485" t="s">
        <v>78</v>
      </c>
      <c r="E485" t="s">
        <v>42</v>
      </c>
      <c r="F485" t="s">
        <v>22</v>
      </c>
      <c r="G485" t="s">
        <v>92</v>
      </c>
      <c r="H485" t="s">
        <v>24</v>
      </c>
      <c r="I485">
        <v>3</v>
      </c>
      <c r="J485">
        <v>15890</v>
      </c>
      <c r="K485">
        <v>0.03</v>
      </c>
      <c r="L485" t="s">
        <v>64</v>
      </c>
      <c r="M485" t="s">
        <v>38</v>
      </c>
      <c r="N485" t="s">
        <v>27</v>
      </c>
      <c r="O485">
        <v>47670</v>
      </c>
      <c r="P485">
        <v>1430.1</v>
      </c>
      <c r="Q485">
        <v>46239.9</v>
      </c>
      <c r="R485">
        <v>4</v>
      </c>
    </row>
    <row r="486" spans="1:18">
      <c r="A486" t="s">
        <v>562</v>
      </c>
      <c r="B486" s="2">
        <v>46108</v>
      </c>
      <c r="C486" t="s">
        <v>40</v>
      </c>
      <c r="D486" t="s">
        <v>115</v>
      </c>
      <c r="E486" t="s">
        <v>21</v>
      </c>
      <c r="F486" t="s">
        <v>22</v>
      </c>
      <c r="G486" t="s">
        <v>37</v>
      </c>
      <c r="H486" t="s">
        <v>24</v>
      </c>
      <c r="I486">
        <v>2</v>
      </c>
      <c r="J486">
        <v>64120</v>
      </c>
      <c r="K486">
        <v>0.03</v>
      </c>
      <c r="L486" t="s">
        <v>68</v>
      </c>
      <c r="M486" t="s">
        <v>35</v>
      </c>
      <c r="N486" t="s">
        <v>27</v>
      </c>
      <c r="O486">
        <v>128240</v>
      </c>
      <c r="P486">
        <v>3847.2</v>
      </c>
      <c r="Q486">
        <v>124392.8</v>
      </c>
      <c r="R486">
        <v>4</v>
      </c>
    </row>
    <row r="487" spans="1:18">
      <c r="A487" t="s">
        <v>563</v>
      </c>
      <c r="B487" s="2">
        <v>46108</v>
      </c>
      <c r="C487" t="s">
        <v>40</v>
      </c>
      <c r="D487" t="s">
        <v>115</v>
      </c>
      <c r="E487" t="s">
        <v>70</v>
      </c>
      <c r="F487" t="s">
        <v>22</v>
      </c>
      <c r="G487" t="s">
        <v>105</v>
      </c>
      <c r="H487" t="s">
        <v>24</v>
      </c>
      <c r="I487">
        <v>1</v>
      </c>
      <c r="J487">
        <v>3230</v>
      </c>
      <c r="K487">
        <v>0.03</v>
      </c>
      <c r="L487" t="s">
        <v>25</v>
      </c>
      <c r="M487" t="s">
        <v>38</v>
      </c>
      <c r="N487" t="s">
        <v>27</v>
      </c>
      <c r="O487">
        <v>3230</v>
      </c>
      <c r="P487">
        <v>96.9</v>
      </c>
      <c r="Q487">
        <v>3133.1</v>
      </c>
      <c r="R487">
        <v>1</v>
      </c>
    </row>
    <row r="488" spans="1:18">
      <c r="A488" t="s">
        <v>564</v>
      </c>
      <c r="B488" s="2">
        <v>46109</v>
      </c>
      <c r="C488" t="s">
        <v>29</v>
      </c>
      <c r="D488" t="s">
        <v>30</v>
      </c>
      <c r="E488" t="s">
        <v>42</v>
      </c>
      <c r="F488" t="s">
        <v>31</v>
      </c>
      <c r="G488" t="s">
        <v>43</v>
      </c>
      <c r="H488" t="s">
        <v>33</v>
      </c>
      <c r="I488">
        <v>1</v>
      </c>
      <c r="J488">
        <v>1010</v>
      </c>
      <c r="K488">
        <v>0.15</v>
      </c>
      <c r="L488" t="s">
        <v>64</v>
      </c>
      <c r="M488" t="s">
        <v>38</v>
      </c>
      <c r="N488" t="s">
        <v>27</v>
      </c>
      <c r="O488">
        <v>1010</v>
      </c>
      <c r="P488">
        <v>151.5</v>
      </c>
      <c r="Q488">
        <v>858.5</v>
      </c>
      <c r="R488">
        <v>3</v>
      </c>
    </row>
    <row r="489" spans="1:18">
      <c r="A489" t="s">
        <v>565</v>
      </c>
      <c r="B489" s="2">
        <v>46109</v>
      </c>
      <c r="C489" t="s">
        <v>40</v>
      </c>
      <c r="D489" t="s">
        <v>89</v>
      </c>
      <c r="E489" t="s">
        <v>70</v>
      </c>
      <c r="F489" t="s">
        <v>22</v>
      </c>
      <c r="G489" t="s">
        <v>23</v>
      </c>
      <c r="H489" t="s">
        <v>24</v>
      </c>
      <c r="I489">
        <v>1</v>
      </c>
      <c r="J489">
        <v>26430</v>
      </c>
      <c r="K489">
        <v>0.03</v>
      </c>
      <c r="L489" t="s">
        <v>25</v>
      </c>
      <c r="M489" t="s">
        <v>55</v>
      </c>
      <c r="N489" t="s">
        <v>27</v>
      </c>
      <c r="O489">
        <v>26430</v>
      </c>
      <c r="P489">
        <v>792.9</v>
      </c>
      <c r="Q489">
        <v>25637.1</v>
      </c>
      <c r="R489">
        <v>2</v>
      </c>
    </row>
    <row r="490" spans="1:18">
      <c r="A490" t="s">
        <v>566</v>
      </c>
      <c r="B490" s="2">
        <v>46109</v>
      </c>
      <c r="C490" t="s">
        <v>40</v>
      </c>
      <c r="D490" t="s">
        <v>41</v>
      </c>
      <c r="E490" t="s">
        <v>42</v>
      </c>
      <c r="F490" t="s">
        <v>22</v>
      </c>
      <c r="G490" t="s">
        <v>152</v>
      </c>
      <c r="H490" t="s">
        <v>74</v>
      </c>
      <c r="I490">
        <v>5</v>
      </c>
      <c r="J490">
        <v>14350</v>
      </c>
      <c r="K490">
        <v>0.03</v>
      </c>
      <c r="L490" t="s">
        <v>68</v>
      </c>
      <c r="M490" t="s">
        <v>71</v>
      </c>
      <c r="N490" t="s">
        <v>27</v>
      </c>
      <c r="O490">
        <v>71750</v>
      </c>
      <c r="P490">
        <v>2152.5</v>
      </c>
      <c r="Q490">
        <v>69597.5</v>
      </c>
      <c r="R490">
        <v>3</v>
      </c>
    </row>
    <row r="491" spans="1:18">
      <c r="A491" t="s">
        <v>567</v>
      </c>
      <c r="B491" s="2">
        <v>46109</v>
      </c>
      <c r="C491" t="s">
        <v>29</v>
      </c>
      <c r="D491" t="s">
        <v>78</v>
      </c>
      <c r="E491" t="s">
        <v>70</v>
      </c>
      <c r="F491" t="s">
        <v>22</v>
      </c>
      <c r="G491" t="s">
        <v>62</v>
      </c>
      <c r="H491" t="s">
        <v>33</v>
      </c>
      <c r="I491">
        <v>2</v>
      </c>
      <c r="J491">
        <v>1750</v>
      </c>
      <c r="K491">
        <v>0.08</v>
      </c>
      <c r="L491" t="s">
        <v>68</v>
      </c>
      <c r="M491" t="s">
        <v>71</v>
      </c>
      <c r="N491" t="s">
        <v>27</v>
      </c>
      <c r="O491">
        <v>3500</v>
      </c>
      <c r="P491">
        <v>280</v>
      </c>
      <c r="Q491">
        <v>3220</v>
      </c>
      <c r="R491">
        <v>2</v>
      </c>
    </row>
    <row r="492" spans="1:18">
      <c r="A492" t="s">
        <v>568</v>
      </c>
      <c r="B492" s="2">
        <v>46109</v>
      </c>
      <c r="C492" t="s">
        <v>29</v>
      </c>
      <c r="D492" t="s">
        <v>78</v>
      </c>
      <c r="E492" t="s">
        <v>42</v>
      </c>
      <c r="F492" t="s">
        <v>22</v>
      </c>
      <c r="G492" t="s">
        <v>58</v>
      </c>
      <c r="H492" t="s">
        <v>59</v>
      </c>
      <c r="I492">
        <v>2</v>
      </c>
      <c r="J492">
        <v>7550</v>
      </c>
      <c r="K492">
        <v>0.08</v>
      </c>
      <c r="L492" t="s">
        <v>68</v>
      </c>
      <c r="M492" t="s">
        <v>38</v>
      </c>
      <c r="N492" t="s">
        <v>27</v>
      </c>
      <c r="O492">
        <v>15100</v>
      </c>
      <c r="P492">
        <v>1208</v>
      </c>
      <c r="Q492">
        <v>13892</v>
      </c>
      <c r="R492">
        <v>3</v>
      </c>
    </row>
    <row r="493" spans="1:18">
      <c r="A493" t="s">
        <v>569</v>
      </c>
      <c r="B493" s="2">
        <v>46109</v>
      </c>
      <c r="C493" t="s">
        <v>40</v>
      </c>
      <c r="D493" t="s">
        <v>89</v>
      </c>
      <c r="E493" t="s">
        <v>42</v>
      </c>
      <c r="F493" t="s">
        <v>31</v>
      </c>
      <c r="G493" t="s">
        <v>58</v>
      </c>
      <c r="H493" t="s">
        <v>59</v>
      </c>
      <c r="I493">
        <v>1</v>
      </c>
      <c r="J493">
        <v>6940</v>
      </c>
      <c r="K493">
        <v>0.03</v>
      </c>
      <c r="L493" t="s">
        <v>68</v>
      </c>
      <c r="M493" t="s">
        <v>66</v>
      </c>
      <c r="N493" t="s">
        <v>45</v>
      </c>
      <c r="O493">
        <v>0</v>
      </c>
      <c r="P493">
        <v>0</v>
      </c>
      <c r="Q493">
        <v>0</v>
      </c>
    </row>
    <row r="494" spans="1:18">
      <c r="A494" t="s">
        <v>570</v>
      </c>
      <c r="B494" s="2">
        <v>46110</v>
      </c>
      <c r="C494" t="s">
        <v>29</v>
      </c>
      <c r="D494" t="s">
        <v>30</v>
      </c>
      <c r="E494" t="s">
        <v>70</v>
      </c>
      <c r="F494" t="s">
        <v>22</v>
      </c>
      <c r="G494" t="s">
        <v>23</v>
      </c>
      <c r="H494" t="s">
        <v>24</v>
      </c>
      <c r="I494">
        <v>5</v>
      </c>
      <c r="J494">
        <v>28160</v>
      </c>
      <c r="K494">
        <v>0.05</v>
      </c>
      <c r="L494" t="s">
        <v>68</v>
      </c>
      <c r="M494" t="s">
        <v>66</v>
      </c>
      <c r="N494" t="s">
        <v>27</v>
      </c>
      <c r="O494">
        <v>140800</v>
      </c>
      <c r="P494">
        <v>7040</v>
      </c>
      <c r="Q494">
        <v>133760</v>
      </c>
      <c r="R494">
        <v>2</v>
      </c>
    </row>
    <row r="495" spans="1:18">
      <c r="A495" t="s">
        <v>571</v>
      </c>
      <c r="B495" s="2">
        <v>46111</v>
      </c>
      <c r="C495" t="s">
        <v>82</v>
      </c>
      <c r="D495" t="s">
        <v>83</v>
      </c>
      <c r="E495" t="s">
        <v>21</v>
      </c>
      <c r="F495" t="s">
        <v>22</v>
      </c>
      <c r="G495" t="s">
        <v>37</v>
      </c>
      <c r="H495" t="s">
        <v>24</v>
      </c>
      <c r="I495">
        <v>3</v>
      </c>
      <c r="J495">
        <v>58330</v>
      </c>
      <c r="K495">
        <v>0.03</v>
      </c>
      <c r="L495" t="s">
        <v>68</v>
      </c>
      <c r="M495" t="s">
        <v>55</v>
      </c>
      <c r="N495" t="s">
        <v>27</v>
      </c>
      <c r="O495">
        <v>174990</v>
      </c>
      <c r="P495">
        <v>5249.7</v>
      </c>
      <c r="Q495">
        <v>169740.3</v>
      </c>
      <c r="R495">
        <v>2</v>
      </c>
    </row>
    <row r="496" spans="1:18">
      <c r="A496" t="s">
        <v>572</v>
      </c>
      <c r="B496" s="2">
        <v>46112</v>
      </c>
      <c r="C496" t="s">
        <v>40</v>
      </c>
      <c r="D496" t="s">
        <v>47</v>
      </c>
      <c r="E496" t="s">
        <v>70</v>
      </c>
      <c r="F496" t="s">
        <v>22</v>
      </c>
      <c r="G496" t="s">
        <v>37</v>
      </c>
      <c r="H496" t="s">
        <v>24</v>
      </c>
      <c r="I496">
        <v>1</v>
      </c>
      <c r="J496">
        <v>59540</v>
      </c>
      <c r="K496">
        <v>0.15</v>
      </c>
      <c r="L496" t="s">
        <v>68</v>
      </c>
      <c r="M496" t="s">
        <v>71</v>
      </c>
      <c r="N496" t="s">
        <v>27</v>
      </c>
      <c r="O496">
        <v>59540</v>
      </c>
      <c r="P496">
        <v>8931</v>
      </c>
      <c r="Q496">
        <v>50609</v>
      </c>
      <c r="R496">
        <v>6</v>
      </c>
    </row>
    <row r="497" spans="1:18">
      <c r="A497" t="s">
        <v>573</v>
      </c>
      <c r="B497" s="2">
        <v>46113</v>
      </c>
      <c r="C497" t="s">
        <v>40</v>
      </c>
      <c r="D497" t="s">
        <v>115</v>
      </c>
      <c r="E497" t="s">
        <v>21</v>
      </c>
      <c r="F497" t="s">
        <v>22</v>
      </c>
      <c r="G497" t="s">
        <v>43</v>
      </c>
      <c r="H497" t="s">
        <v>33</v>
      </c>
      <c r="I497">
        <v>1</v>
      </c>
      <c r="J497">
        <v>1000</v>
      </c>
      <c r="K497">
        <v>0.05</v>
      </c>
      <c r="L497" t="s">
        <v>54</v>
      </c>
      <c r="M497" t="s">
        <v>35</v>
      </c>
      <c r="N497" t="s">
        <v>27</v>
      </c>
      <c r="O497">
        <v>1000</v>
      </c>
      <c r="P497">
        <v>50</v>
      </c>
      <c r="Q497">
        <v>950</v>
      </c>
      <c r="R497">
        <v>1</v>
      </c>
    </row>
    <row r="498" spans="1:18">
      <c r="A498" t="s">
        <v>574</v>
      </c>
      <c r="B498" s="2">
        <v>46113</v>
      </c>
      <c r="C498" t="s">
        <v>29</v>
      </c>
      <c r="D498" t="s">
        <v>85</v>
      </c>
      <c r="E498" t="s">
        <v>70</v>
      </c>
      <c r="F498" t="s">
        <v>53</v>
      </c>
      <c r="G498" t="s">
        <v>32</v>
      </c>
      <c r="H498" t="s">
        <v>33</v>
      </c>
      <c r="I498">
        <v>3</v>
      </c>
      <c r="J498">
        <v>2540</v>
      </c>
      <c r="K498">
        <v>0.05</v>
      </c>
      <c r="L498" t="s">
        <v>64</v>
      </c>
      <c r="M498" t="s">
        <v>35</v>
      </c>
      <c r="N498" t="s">
        <v>27</v>
      </c>
      <c r="O498">
        <v>7620</v>
      </c>
      <c r="P498">
        <v>381</v>
      </c>
      <c r="Q498">
        <v>7239</v>
      </c>
      <c r="R498">
        <v>2</v>
      </c>
    </row>
    <row r="499" spans="1:18">
      <c r="A499" t="s">
        <v>575</v>
      </c>
      <c r="B499" s="2">
        <v>46115</v>
      </c>
      <c r="C499" t="s">
        <v>19</v>
      </c>
      <c r="D499" t="s">
        <v>52</v>
      </c>
      <c r="E499" t="s">
        <v>42</v>
      </c>
      <c r="F499" t="s">
        <v>22</v>
      </c>
      <c r="G499" t="s">
        <v>37</v>
      </c>
      <c r="H499" t="s">
        <v>24</v>
      </c>
      <c r="I499">
        <v>4</v>
      </c>
      <c r="J499">
        <v>61700</v>
      </c>
      <c r="K499">
        <v>0.05</v>
      </c>
      <c r="L499" t="s">
        <v>34</v>
      </c>
      <c r="M499" t="s">
        <v>44</v>
      </c>
      <c r="N499" t="s">
        <v>27</v>
      </c>
      <c r="O499">
        <v>246800</v>
      </c>
      <c r="P499">
        <v>12340</v>
      </c>
      <c r="Q499">
        <v>234460</v>
      </c>
      <c r="R499">
        <v>1</v>
      </c>
    </row>
    <row r="500" spans="1:18">
      <c r="A500" t="s">
        <v>576</v>
      </c>
      <c r="B500" s="2">
        <v>46116</v>
      </c>
      <c r="C500" t="s">
        <v>19</v>
      </c>
      <c r="D500" t="s">
        <v>20</v>
      </c>
      <c r="E500" t="s">
        <v>21</v>
      </c>
      <c r="F500" t="s">
        <v>22</v>
      </c>
      <c r="G500" t="s">
        <v>37</v>
      </c>
      <c r="H500" t="s">
        <v>24</v>
      </c>
      <c r="I500">
        <v>1</v>
      </c>
      <c r="J500">
        <v>61970</v>
      </c>
      <c r="K500">
        <v>0.03</v>
      </c>
      <c r="L500" t="s">
        <v>34</v>
      </c>
      <c r="M500" t="s">
        <v>66</v>
      </c>
      <c r="N500" t="s">
        <v>27</v>
      </c>
      <c r="O500">
        <v>61970</v>
      </c>
      <c r="P500">
        <v>1859.1</v>
      </c>
      <c r="Q500">
        <v>60110.9</v>
      </c>
      <c r="R500">
        <v>2</v>
      </c>
    </row>
    <row r="501" spans="1:18">
      <c r="A501" t="s">
        <v>577</v>
      </c>
      <c r="B501" s="2">
        <v>46117</v>
      </c>
      <c r="C501" t="s">
        <v>40</v>
      </c>
      <c r="D501" t="s">
        <v>115</v>
      </c>
      <c r="E501" t="s">
        <v>42</v>
      </c>
      <c r="F501" t="s">
        <v>22</v>
      </c>
      <c r="G501" t="s">
        <v>48</v>
      </c>
      <c r="H501" t="s">
        <v>49</v>
      </c>
      <c r="I501">
        <v>1</v>
      </c>
      <c r="J501">
        <v>13130</v>
      </c>
      <c r="K501">
        <v>0.03</v>
      </c>
      <c r="L501" t="s">
        <v>54</v>
      </c>
      <c r="M501" t="s">
        <v>26</v>
      </c>
      <c r="N501" t="s">
        <v>27</v>
      </c>
      <c r="O501">
        <v>13130</v>
      </c>
      <c r="P501">
        <v>393.9</v>
      </c>
      <c r="Q501">
        <v>12736.1</v>
      </c>
      <c r="R501">
        <v>2</v>
      </c>
    </row>
    <row r="502" spans="1:18">
      <c r="A502" t="s">
        <v>578</v>
      </c>
      <c r="B502" s="2">
        <v>46117</v>
      </c>
      <c r="C502" t="s">
        <v>29</v>
      </c>
      <c r="D502" t="s">
        <v>61</v>
      </c>
      <c r="E502" t="s">
        <v>42</v>
      </c>
      <c r="F502" t="s">
        <v>22</v>
      </c>
      <c r="G502" t="s">
        <v>62</v>
      </c>
      <c r="H502" t="s">
        <v>33</v>
      </c>
      <c r="I502">
        <v>5</v>
      </c>
      <c r="J502">
        <v>1730</v>
      </c>
      <c r="K502">
        <v>0.1</v>
      </c>
      <c r="L502" t="s">
        <v>25</v>
      </c>
      <c r="M502" t="s">
        <v>38</v>
      </c>
      <c r="N502" t="s">
        <v>27</v>
      </c>
      <c r="O502">
        <v>8650</v>
      </c>
      <c r="P502">
        <v>865</v>
      </c>
      <c r="Q502">
        <v>7785</v>
      </c>
      <c r="R502">
        <v>2</v>
      </c>
    </row>
    <row r="503" spans="1:18">
      <c r="A503" t="s">
        <v>579</v>
      </c>
      <c r="B503" s="2">
        <v>46118</v>
      </c>
      <c r="C503" t="s">
        <v>29</v>
      </c>
      <c r="D503" t="s">
        <v>30</v>
      </c>
      <c r="E503" t="s">
        <v>21</v>
      </c>
      <c r="F503" t="s">
        <v>31</v>
      </c>
      <c r="G503" t="s">
        <v>48</v>
      </c>
      <c r="H503" t="s">
        <v>49</v>
      </c>
      <c r="I503">
        <v>3</v>
      </c>
      <c r="J503">
        <v>12190</v>
      </c>
      <c r="K503">
        <v>0</v>
      </c>
      <c r="L503" t="s">
        <v>64</v>
      </c>
      <c r="M503" t="s">
        <v>66</v>
      </c>
      <c r="N503" t="s">
        <v>27</v>
      </c>
      <c r="O503">
        <v>36570</v>
      </c>
      <c r="P503">
        <v>0</v>
      </c>
      <c r="Q503">
        <v>36570</v>
      </c>
      <c r="R503">
        <v>5</v>
      </c>
    </row>
    <row r="504" spans="1:18">
      <c r="A504" t="s">
        <v>580</v>
      </c>
      <c r="B504" s="2">
        <v>46118</v>
      </c>
      <c r="C504" t="s">
        <v>40</v>
      </c>
      <c r="D504" t="s">
        <v>47</v>
      </c>
      <c r="E504" t="s">
        <v>42</v>
      </c>
      <c r="F504" t="s">
        <v>31</v>
      </c>
      <c r="G504" t="s">
        <v>73</v>
      </c>
      <c r="H504" t="s">
        <v>74</v>
      </c>
      <c r="I504">
        <v>3</v>
      </c>
      <c r="J504">
        <v>11290</v>
      </c>
      <c r="K504">
        <v>0.05</v>
      </c>
      <c r="L504" t="s">
        <v>64</v>
      </c>
      <c r="M504" t="s">
        <v>66</v>
      </c>
      <c r="N504" t="s">
        <v>27</v>
      </c>
      <c r="O504">
        <v>33870</v>
      </c>
      <c r="P504">
        <v>1693.5</v>
      </c>
      <c r="Q504">
        <v>32176.5</v>
      </c>
      <c r="R504">
        <v>2</v>
      </c>
    </row>
    <row r="505" spans="1:18">
      <c r="A505" t="s">
        <v>581</v>
      </c>
      <c r="B505" s="2">
        <v>46119</v>
      </c>
      <c r="C505" t="s">
        <v>29</v>
      </c>
      <c r="D505" t="s">
        <v>85</v>
      </c>
      <c r="E505" t="s">
        <v>21</v>
      </c>
      <c r="F505" t="s">
        <v>22</v>
      </c>
      <c r="G505" t="s">
        <v>58</v>
      </c>
      <c r="H505" t="s">
        <v>59</v>
      </c>
      <c r="I505">
        <v>1</v>
      </c>
      <c r="J505">
        <v>7150</v>
      </c>
      <c r="K505">
        <v>0.05</v>
      </c>
      <c r="L505" t="s">
        <v>68</v>
      </c>
      <c r="M505" t="s">
        <v>50</v>
      </c>
      <c r="N505" t="s">
        <v>27</v>
      </c>
      <c r="O505">
        <v>7150</v>
      </c>
      <c r="P505">
        <v>357.5</v>
      </c>
      <c r="Q505">
        <v>6792.5</v>
      </c>
      <c r="R505">
        <v>3</v>
      </c>
    </row>
    <row r="506" spans="1:18">
      <c r="A506" t="s">
        <v>582</v>
      </c>
      <c r="B506" s="2">
        <v>46121</v>
      </c>
      <c r="C506" t="s">
        <v>19</v>
      </c>
      <c r="D506" t="s">
        <v>20</v>
      </c>
      <c r="E506" t="s">
        <v>42</v>
      </c>
      <c r="F506" t="s">
        <v>53</v>
      </c>
      <c r="G506" t="s">
        <v>152</v>
      </c>
      <c r="H506" t="s">
        <v>74</v>
      </c>
      <c r="I506">
        <v>4</v>
      </c>
      <c r="J506">
        <v>14940</v>
      </c>
      <c r="K506">
        <v>0.05</v>
      </c>
      <c r="L506" t="s">
        <v>34</v>
      </c>
      <c r="M506" t="s">
        <v>38</v>
      </c>
      <c r="N506" t="s">
        <v>45</v>
      </c>
      <c r="O506">
        <v>0</v>
      </c>
      <c r="P506">
        <v>0</v>
      </c>
      <c r="Q506">
        <v>0</v>
      </c>
    </row>
    <row r="507" spans="1:18">
      <c r="A507" t="s">
        <v>583</v>
      </c>
      <c r="B507" s="2">
        <v>46121</v>
      </c>
      <c r="C507" t="s">
        <v>19</v>
      </c>
      <c r="D507" t="s">
        <v>103</v>
      </c>
      <c r="E507" t="s">
        <v>21</v>
      </c>
      <c r="F507" t="s">
        <v>22</v>
      </c>
      <c r="G507" t="s">
        <v>23</v>
      </c>
      <c r="H507" t="s">
        <v>24</v>
      </c>
      <c r="I507">
        <v>1</v>
      </c>
      <c r="J507">
        <v>28500</v>
      </c>
      <c r="K507">
        <v>0.08</v>
      </c>
      <c r="L507" t="s">
        <v>68</v>
      </c>
      <c r="M507" t="s">
        <v>50</v>
      </c>
      <c r="N507" t="s">
        <v>27</v>
      </c>
      <c r="O507">
        <v>28500</v>
      </c>
      <c r="P507">
        <v>2280</v>
      </c>
      <c r="Q507">
        <v>26220</v>
      </c>
      <c r="R507">
        <v>2</v>
      </c>
    </row>
    <row r="508" spans="1:18">
      <c r="A508" t="s">
        <v>584</v>
      </c>
      <c r="B508" s="2">
        <v>46122</v>
      </c>
      <c r="C508" t="s">
        <v>40</v>
      </c>
      <c r="D508" t="s">
        <v>47</v>
      </c>
      <c r="E508" t="s">
        <v>42</v>
      </c>
      <c r="F508" t="s">
        <v>22</v>
      </c>
      <c r="G508" t="s">
        <v>23</v>
      </c>
      <c r="H508" t="s">
        <v>24</v>
      </c>
      <c r="I508">
        <v>1</v>
      </c>
      <c r="J508">
        <v>29380</v>
      </c>
      <c r="K508">
        <v>0</v>
      </c>
      <c r="L508" t="s">
        <v>64</v>
      </c>
      <c r="M508" t="s">
        <v>66</v>
      </c>
      <c r="N508" t="s">
        <v>27</v>
      </c>
      <c r="O508">
        <v>29380</v>
      </c>
      <c r="P508">
        <v>0</v>
      </c>
      <c r="Q508">
        <v>29380</v>
      </c>
      <c r="R508">
        <v>4</v>
      </c>
    </row>
    <row r="509" spans="1:18">
      <c r="A509" t="s">
        <v>585</v>
      </c>
      <c r="B509" s="2">
        <v>46122</v>
      </c>
      <c r="C509" t="s">
        <v>19</v>
      </c>
      <c r="D509" t="s">
        <v>57</v>
      </c>
      <c r="E509" t="s">
        <v>70</v>
      </c>
      <c r="F509" t="s">
        <v>22</v>
      </c>
      <c r="G509" t="s">
        <v>95</v>
      </c>
      <c r="H509" t="s">
        <v>24</v>
      </c>
      <c r="I509">
        <v>2</v>
      </c>
      <c r="J509">
        <v>21480</v>
      </c>
      <c r="K509">
        <v>0.05</v>
      </c>
      <c r="L509" t="s">
        <v>64</v>
      </c>
      <c r="M509" t="s">
        <v>66</v>
      </c>
      <c r="N509" t="s">
        <v>27</v>
      </c>
      <c r="O509">
        <v>42960</v>
      </c>
      <c r="P509">
        <v>2148</v>
      </c>
      <c r="Q509">
        <v>40812</v>
      </c>
      <c r="R509">
        <v>4</v>
      </c>
    </row>
    <row r="510" spans="1:18">
      <c r="A510" t="s">
        <v>586</v>
      </c>
      <c r="B510" s="2">
        <v>46122</v>
      </c>
      <c r="C510" t="s">
        <v>29</v>
      </c>
      <c r="D510" t="s">
        <v>61</v>
      </c>
      <c r="E510" t="s">
        <v>42</v>
      </c>
      <c r="F510" t="s">
        <v>53</v>
      </c>
      <c r="G510" t="s">
        <v>92</v>
      </c>
      <c r="H510" t="s">
        <v>24</v>
      </c>
      <c r="I510">
        <v>4</v>
      </c>
      <c r="J510">
        <v>15490</v>
      </c>
      <c r="K510">
        <v>0</v>
      </c>
      <c r="L510" t="s">
        <v>68</v>
      </c>
      <c r="M510" t="s">
        <v>44</v>
      </c>
      <c r="N510" t="s">
        <v>27</v>
      </c>
      <c r="O510">
        <v>61960</v>
      </c>
      <c r="P510">
        <v>0</v>
      </c>
      <c r="Q510">
        <v>61960</v>
      </c>
      <c r="R510">
        <v>5</v>
      </c>
    </row>
    <row r="511" spans="1:18">
      <c r="A511" t="s">
        <v>587</v>
      </c>
      <c r="B511" s="2">
        <v>46123</v>
      </c>
      <c r="C511" t="s">
        <v>40</v>
      </c>
      <c r="D511" t="s">
        <v>89</v>
      </c>
      <c r="E511" t="s">
        <v>70</v>
      </c>
      <c r="F511" t="s">
        <v>53</v>
      </c>
      <c r="G511" t="s">
        <v>23</v>
      </c>
      <c r="H511" t="s">
        <v>24</v>
      </c>
      <c r="I511">
        <v>1</v>
      </c>
      <c r="J511">
        <v>26260</v>
      </c>
      <c r="K511">
        <v>0</v>
      </c>
      <c r="L511" t="s">
        <v>54</v>
      </c>
      <c r="M511" t="s">
        <v>38</v>
      </c>
      <c r="N511" t="s">
        <v>27</v>
      </c>
      <c r="O511">
        <v>26260</v>
      </c>
      <c r="P511">
        <v>0</v>
      </c>
      <c r="Q511">
        <v>26260</v>
      </c>
      <c r="R511">
        <v>1</v>
      </c>
    </row>
    <row r="512" spans="1:18">
      <c r="A512" t="s">
        <v>588</v>
      </c>
      <c r="B512" s="2">
        <v>46123</v>
      </c>
      <c r="C512" t="s">
        <v>29</v>
      </c>
      <c r="D512" t="s">
        <v>61</v>
      </c>
      <c r="E512" t="s">
        <v>70</v>
      </c>
      <c r="F512" t="s">
        <v>22</v>
      </c>
      <c r="G512" t="s">
        <v>152</v>
      </c>
      <c r="H512" t="s">
        <v>74</v>
      </c>
      <c r="I512">
        <v>2</v>
      </c>
      <c r="J512">
        <v>14910</v>
      </c>
      <c r="K512">
        <v>0.05</v>
      </c>
      <c r="L512" t="s">
        <v>64</v>
      </c>
      <c r="M512" t="s">
        <v>35</v>
      </c>
      <c r="N512" t="s">
        <v>27</v>
      </c>
      <c r="O512">
        <v>29820</v>
      </c>
      <c r="P512">
        <v>1491</v>
      </c>
      <c r="Q512">
        <v>28329</v>
      </c>
      <c r="R512">
        <v>2</v>
      </c>
    </row>
    <row r="513" spans="1:18">
      <c r="A513" t="s">
        <v>589</v>
      </c>
      <c r="B513" s="2">
        <v>46123</v>
      </c>
      <c r="C513" t="s">
        <v>40</v>
      </c>
      <c r="D513" t="s">
        <v>89</v>
      </c>
      <c r="E513" t="s">
        <v>70</v>
      </c>
      <c r="F513" t="s">
        <v>22</v>
      </c>
      <c r="G513" t="s">
        <v>23</v>
      </c>
      <c r="H513" t="s">
        <v>24</v>
      </c>
      <c r="I513">
        <v>2</v>
      </c>
      <c r="J513">
        <v>26100</v>
      </c>
      <c r="K513">
        <v>0.05</v>
      </c>
      <c r="L513" t="s">
        <v>25</v>
      </c>
      <c r="M513" t="s">
        <v>35</v>
      </c>
      <c r="N513" t="s">
        <v>27</v>
      </c>
      <c r="O513">
        <v>52200</v>
      </c>
      <c r="P513">
        <v>2610</v>
      </c>
      <c r="Q513">
        <v>49590</v>
      </c>
      <c r="R513">
        <v>5</v>
      </c>
    </row>
    <row r="514" spans="1:18">
      <c r="A514" t="s">
        <v>590</v>
      </c>
      <c r="B514" s="2">
        <v>46124</v>
      </c>
      <c r="C514" t="s">
        <v>29</v>
      </c>
      <c r="D514" t="s">
        <v>30</v>
      </c>
      <c r="E514" t="s">
        <v>21</v>
      </c>
      <c r="F514" t="s">
        <v>31</v>
      </c>
      <c r="G514" t="s">
        <v>37</v>
      </c>
      <c r="H514" t="s">
        <v>24</v>
      </c>
      <c r="I514">
        <v>1</v>
      </c>
      <c r="J514">
        <v>58540</v>
      </c>
      <c r="K514">
        <v>0.05</v>
      </c>
      <c r="L514" t="s">
        <v>54</v>
      </c>
      <c r="M514" t="s">
        <v>35</v>
      </c>
      <c r="N514" t="s">
        <v>27</v>
      </c>
      <c r="O514">
        <v>58540</v>
      </c>
      <c r="P514">
        <v>2927</v>
      </c>
      <c r="Q514">
        <v>55613</v>
      </c>
      <c r="R514">
        <v>3</v>
      </c>
    </row>
    <row r="515" spans="1:18">
      <c r="A515" t="s">
        <v>591</v>
      </c>
      <c r="B515" s="2">
        <v>46124</v>
      </c>
      <c r="C515" t="s">
        <v>40</v>
      </c>
      <c r="D515" t="s">
        <v>47</v>
      </c>
      <c r="E515" t="s">
        <v>42</v>
      </c>
      <c r="F515" t="s">
        <v>53</v>
      </c>
      <c r="G515" t="s">
        <v>149</v>
      </c>
      <c r="H515" t="s">
        <v>33</v>
      </c>
      <c r="I515">
        <v>3</v>
      </c>
      <c r="J515">
        <v>3670</v>
      </c>
      <c r="K515">
        <v>0.05</v>
      </c>
      <c r="L515" t="s">
        <v>64</v>
      </c>
      <c r="M515" t="s">
        <v>71</v>
      </c>
      <c r="N515" t="s">
        <v>27</v>
      </c>
      <c r="O515">
        <v>11010</v>
      </c>
      <c r="P515">
        <v>550.5</v>
      </c>
      <c r="Q515">
        <v>10459.5</v>
      </c>
      <c r="R515">
        <v>2</v>
      </c>
    </row>
    <row r="516" spans="1:18">
      <c r="A516" t="s">
        <v>592</v>
      </c>
      <c r="B516" s="2">
        <v>46125</v>
      </c>
      <c r="C516" t="s">
        <v>19</v>
      </c>
      <c r="D516" t="s">
        <v>20</v>
      </c>
      <c r="E516" t="s">
        <v>21</v>
      </c>
      <c r="F516" t="s">
        <v>22</v>
      </c>
      <c r="G516" t="s">
        <v>95</v>
      </c>
      <c r="H516" t="s">
        <v>24</v>
      </c>
      <c r="I516">
        <v>1</v>
      </c>
      <c r="J516">
        <v>21550</v>
      </c>
      <c r="K516">
        <v>0.15</v>
      </c>
      <c r="L516" t="s">
        <v>34</v>
      </c>
      <c r="M516" t="s">
        <v>35</v>
      </c>
      <c r="N516" t="s">
        <v>27</v>
      </c>
      <c r="O516">
        <v>21550</v>
      </c>
      <c r="P516">
        <v>3232.5</v>
      </c>
      <c r="Q516">
        <v>18317.5</v>
      </c>
      <c r="R516">
        <v>4</v>
      </c>
    </row>
    <row r="517" spans="1:18">
      <c r="A517" t="s">
        <v>593</v>
      </c>
      <c r="B517" s="2">
        <v>46125</v>
      </c>
      <c r="C517" t="s">
        <v>40</v>
      </c>
      <c r="D517" t="s">
        <v>41</v>
      </c>
      <c r="E517" t="s">
        <v>42</v>
      </c>
      <c r="F517" t="s">
        <v>22</v>
      </c>
      <c r="G517" t="s">
        <v>152</v>
      </c>
      <c r="H517" t="s">
        <v>74</v>
      </c>
      <c r="I517">
        <v>3</v>
      </c>
      <c r="J517">
        <v>15040</v>
      </c>
      <c r="K517">
        <v>0.05</v>
      </c>
      <c r="L517" t="s">
        <v>54</v>
      </c>
      <c r="M517" t="s">
        <v>35</v>
      </c>
      <c r="N517" t="s">
        <v>45</v>
      </c>
      <c r="O517">
        <v>0</v>
      </c>
      <c r="P517">
        <v>0</v>
      </c>
      <c r="Q517">
        <v>0</v>
      </c>
    </row>
    <row r="518" spans="1:18">
      <c r="A518" t="s">
        <v>594</v>
      </c>
      <c r="B518" s="2">
        <v>46125</v>
      </c>
      <c r="C518" t="s">
        <v>82</v>
      </c>
      <c r="D518" t="s">
        <v>122</v>
      </c>
      <c r="E518" t="s">
        <v>21</v>
      </c>
      <c r="F518" t="s">
        <v>31</v>
      </c>
      <c r="G518" t="s">
        <v>62</v>
      </c>
      <c r="H518" t="s">
        <v>33</v>
      </c>
      <c r="I518">
        <v>2</v>
      </c>
      <c r="J518">
        <v>1910</v>
      </c>
      <c r="K518">
        <v>0.08</v>
      </c>
      <c r="L518" t="s">
        <v>64</v>
      </c>
      <c r="M518" t="s">
        <v>44</v>
      </c>
      <c r="N518" t="s">
        <v>27</v>
      </c>
      <c r="O518">
        <v>3820</v>
      </c>
      <c r="P518">
        <v>305.60000000000002</v>
      </c>
      <c r="Q518">
        <v>3514.4</v>
      </c>
      <c r="R518">
        <v>4</v>
      </c>
    </row>
    <row r="519" spans="1:18">
      <c r="A519" t="s">
        <v>595</v>
      </c>
      <c r="B519" s="2">
        <v>46127</v>
      </c>
      <c r="C519" t="s">
        <v>82</v>
      </c>
      <c r="D519" t="s">
        <v>178</v>
      </c>
      <c r="E519" t="s">
        <v>21</v>
      </c>
      <c r="F519" t="s">
        <v>22</v>
      </c>
      <c r="G519" t="s">
        <v>101</v>
      </c>
      <c r="H519" t="s">
        <v>33</v>
      </c>
      <c r="I519">
        <v>1</v>
      </c>
      <c r="J519">
        <v>1910</v>
      </c>
      <c r="K519">
        <v>0.03</v>
      </c>
      <c r="L519" t="s">
        <v>54</v>
      </c>
      <c r="M519" t="s">
        <v>71</v>
      </c>
      <c r="N519" t="s">
        <v>27</v>
      </c>
      <c r="O519">
        <v>1910</v>
      </c>
      <c r="P519">
        <v>57.3</v>
      </c>
      <c r="Q519">
        <v>1852.7</v>
      </c>
      <c r="R519">
        <v>1</v>
      </c>
    </row>
    <row r="520" spans="1:18">
      <c r="A520" t="s">
        <v>596</v>
      </c>
      <c r="B520" s="2">
        <v>46128</v>
      </c>
      <c r="C520" t="s">
        <v>19</v>
      </c>
      <c r="D520" t="s">
        <v>103</v>
      </c>
      <c r="E520" t="s">
        <v>42</v>
      </c>
      <c r="F520" t="s">
        <v>53</v>
      </c>
      <c r="G520" t="s">
        <v>62</v>
      </c>
      <c r="H520" t="s">
        <v>33</v>
      </c>
      <c r="I520">
        <v>1</v>
      </c>
      <c r="J520">
        <v>1900</v>
      </c>
      <c r="K520">
        <v>0.03</v>
      </c>
      <c r="L520" t="s">
        <v>64</v>
      </c>
      <c r="M520" t="s">
        <v>71</v>
      </c>
      <c r="N520" t="s">
        <v>27</v>
      </c>
      <c r="O520">
        <v>1900</v>
      </c>
      <c r="P520">
        <v>57</v>
      </c>
      <c r="Q520">
        <v>1843</v>
      </c>
      <c r="R520">
        <v>1</v>
      </c>
    </row>
    <row r="521" spans="1:18">
      <c r="A521" t="s">
        <v>597</v>
      </c>
      <c r="B521" s="2">
        <v>46129</v>
      </c>
      <c r="C521" t="s">
        <v>29</v>
      </c>
      <c r="D521" t="s">
        <v>61</v>
      </c>
      <c r="E521" t="s">
        <v>42</v>
      </c>
      <c r="F521" t="s">
        <v>22</v>
      </c>
      <c r="G521" t="s">
        <v>101</v>
      </c>
      <c r="H521" t="s">
        <v>33</v>
      </c>
      <c r="I521">
        <v>2</v>
      </c>
      <c r="J521">
        <v>1700</v>
      </c>
      <c r="K521">
        <v>0.03</v>
      </c>
      <c r="L521" t="s">
        <v>64</v>
      </c>
      <c r="M521" t="s">
        <v>44</v>
      </c>
      <c r="N521" t="s">
        <v>27</v>
      </c>
      <c r="O521">
        <v>3400</v>
      </c>
      <c r="P521">
        <v>102</v>
      </c>
      <c r="Q521">
        <v>3298</v>
      </c>
      <c r="R521">
        <v>3</v>
      </c>
    </row>
    <row r="522" spans="1:18">
      <c r="A522" t="s">
        <v>598</v>
      </c>
      <c r="B522" s="2">
        <v>46130</v>
      </c>
      <c r="C522" t="s">
        <v>40</v>
      </c>
      <c r="D522" t="s">
        <v>115</v>
      </c>
      <c r="E522" t="s">
        <v>42</v>
      </c>
      <c r="F522" t="s">
        <v>53</v>
      </c>
      <c r="G522" t="s">
        <v>37</v>
      </c>
      <c r="H522" t="s">
        <v>24</v>
      </c>
      <c r="I522">
        <v>2</v>
      </c>
      <c r="J522">
        <v>64230</v>
      </c>
      <c r="K522">
        <v>0.05</v>
      </c>
      <c r="L522" t="s">
        <v>34</v>
      </c>
      <c r="M522" t="s">
        <v>66</v>
      </c>
      <c r="N522" t="s">
        <v>27</v>
      </c>
      <c r="O522">
        <v>128460</v>
      </c>
      <c r="P522">
        <v>6423</v>
      </c>
      <c r="Q522">
        <v>122037</v>
      </c>
      <c r="R522">
        <v>1</v>
      </c>
    </row>
    <row r="523" spans="1:18">
      <c r="A523" t="s">
        <v>599</v>
      </c>
      <c r="B523" s="2">
        <v>46131</v>
      </c>
      <c r="C523" t="s">
        <v>40</v>
      </c>
      <c r="D523" t="s">
        <v>89</v>
      </c>
      <c r="E523" t="s">
        <v>21</v>
      </c>
      <c r="F523" t="s">
        <v>22</v>
      </c>
      <c r="G523" t="s">
        <v>62</v>
      </c>
      <c r="H523" t="s">
        <v>33</v>
      </c>
      <c r="I523">
        <v>4</v>
      </c>
      <c r="J523">
        <v>1690</v>
      </c>
      <c r="K523">
        <v>0</v>
      </c>
      <c r="L523" t="s">
        <v>34</v>
      </c>
      <c r="M523" t="s">
        <v>66</v>
      </c>
      <c r="N523" t="s">
        <v>27</v>
      </c>
      <c r="O523">
        <v>6760</v>
      </c>
      <c r="P523">
        <v>0</v>
      </c>
      <c r="Q523">
        <v>6760</v>
      </c>
      <c r="R523">
        <v>5</v>
      </c>
    </row>
    <row r="524" spans="1:18">
      <c r="A524" t="s">
        <v>600</v>
      </c>
      <c r="B524" s="2">
        <v>46131</v>
      </c>
      <c r="C524" t="s">
        <v>82</v>
      </c>
      <c r="D524" t="s">
        <v>178</v>
      </c>
      <c r="E524" t="s">
        <v>42</v>
      </c>
      <c r="F524" t="s">
        <v>22</v>
      </c>
      <c r="G524" t="s">
        <v>105</v>
      </c>
      <c r="H524" t="s">
        <v>24</v>
      </c>
      <c r="I524">
        <v>2</v>
      </c>
      <c r="J524">
        <v>3030</v>
      </c>
      <c r="K524">
        <v>0.08</v>
      </c>
      <c r="L524" t="s">
        <v>68</v>
      </c>
      <c r="M524" t="s">
        <v>35</v>
      </c>
      <c r="N524" t="s">
        <v>27</v>
      </c>
      <c r="O524">
        <v>6060</v>
      </c>
      <c r="P524">
        <v>484.8</v>
      </c>
      <c r="Q524">
        <v>5575.2</v>
      </c>
      <c r="R524">
        <v>7</v>
      </c>
    </row>
    <row r="525" spans="1:18">
      <c r="A525" t="s">
        <v>601</v>
      </c>
      <c r="B525" s="2">
        <v>46131</v>
      </c>
      <c r="C525" t="s">
        <v>19</v>
      </c>
      <c r="D525" t="s">
        <v>57</v>
      </c>
      <c r="E525" t="s">
        <v>42</v>
      </c>
      <c r="F525" t="s">
        <v>22</v>
      </c>
      <c r="G525" t="s">
        <v>92</v>
      </c>
      <c r="H525" t="s">
        <v>24</v>
      </c>
      <c r="I525">
        <v>3</v>
      </c>
      <c r="J525">
        <v>17540</v>
      </c>
      <c r="K525">
        <v>0.08</v>
      </c>
      <c r="L525" t="s">
        <v>64</v>
      </c>
      <c r="M525" t="s">
        <v>50</v>
      </c>
      <c r="N525" t="s">
        <v>27</v>
      </c>
      <c r="O525">
        <v>52620</v>
      </c>
      <c r="P525">
        <v>4209.6000000000004</v>
      </c>
      <c r="Q525">
        <v>48410.400000000001</v>
      </c>
      <c r="R525">
        <v>3</v>
      </c>
    </row>
    <row r="526" spans="1:18">
      <c r="A526" t="s">
        <v>602</v>
      </c>
      <c r="B526" s="2">
        <v>46133</v>
      </c>
      <c r="C526" t="s">
        <v>40</v>
      </c>
      <c r="D526" t="s">
        <v>47</v>
      </c>
      <c r="E526" t="s">
        <v>21</v>
      </c>
      <c r="F526" t="s">
        <v>22</v>
      </c>
      <c r="G526" t="s">
        <v>73</v>
      </c>
      <c r="H526" t="s">
        <v>74</v>
      </c>
      <c r="I526">
        <v>4</v>
      </c>
      <c r="J526">
        <v>10990</v>
      </c>
      <c r="K526">
        <v>0.1</v>
      </c>
      <c r="L526" t="s">
        <v>34</v>
      </c>
      <c r="M526" t="s">
        <v>71</v>
      </c>
      <c r="N526" t="s">
        <v>27</v>
      </c>
      <c r="O526">
        <v>43960</v>
      </c>
      <c r="P526">
        <v>4396</v>
      </c>
      <c r="Q526">
        <v>39564</v>
      </c>
      <c r="R526">
        <v>2</v>
      </c>
    </row>
    <row r="527" spans="1:18">
      <c r="A527" t="s">
        <v>603</v>
      </c>
      <c r="B527" s="2">
        <v>46133</v>
      </c>
      <c r="C527" t="s">
        <v>40</v>
      </c>
      <c r="D527" t="s">
        <v>115</v>
      </c>
      <c r="E527" t="s">
        <v>70</v>
      </c>
      <c r="F527" t="s">
        <v>22</v>
      </c>
      <c r="G527" t="s">
        <v>149</v>
      </c>
      <c r="H527" t="s">
        <v>33</v>
      </c>
      <c r="I527">
        <v>1</v>
      </c>
      <c r="J527">
        <v>3600</v>
      </c>
      <c r="K527">
        <v>0.1</v>
      </c>
      <c r="L527" t="s">
        <v>64</v>
      </c>
      <c r="M527" t="s">
        <v>66</v>
      </c>
      <c r="N527" t="s">
        <v>27</v>
      </c>
      <c r="O527">
        <v>3600</v>
      </c>
      <c r="P527">
        <v>360</v>
      </c>
      <c r="Q527">
        <v>3240</v>
      </c>
      <c r="R527">
        <v>5</v>
      </c>
    </row>
    <row r="528" spans="1:18">
      <c r="A528" t="s">
        <v>604</v>
      </c>
      <c r="B528" s="2">
        <v>46134</v>
      </c>
      <c r="C528" t="s">
        <v>40</v>
      </c>
      <c r="D528" t="s">
        <v>89</v>
      </c>
      <c r="E528" t="s">
        <v>42</v>
      </c>
      <c r="F528" t="s">
        <v>31</v>
      </c>
      <c r="G528" t="s">
        <v>43</v>
      </c>
      <c r="H528" t="s">
        <v>33</v>
      </c>
      <c r="I528">
        <v>1</v>
      </c>
      <c r="J528">
        <v>900</v>
      </c>
      <c r="K528">
        <v>0.05</v>
      </c>
      <c r="L528" t="s">
        <v>64</v>
      </c>
      <c r="M528" t="s">
        <v>38</v>
      </c>
      <c r="N528" t="s">
        <v>27</v>
      </c>
      <c r="O528">
        <v>900</v>
      </c>
      <c r="P528">
        <v>45</v>
      </c>
      <c r="Q528">
        <v>855</v>
      </c>
      <c r="R528">
        <v>3</v>
      </c>
    </row>
    <row r="529" spans="1:18">
      <c r="A529" t="s">
        <v>605</v>
      </c>
      <c r="B529" s="2">
        <v>46134</v>
      </c>
      <c r="C529" t="s">
        <v>82</v>
      </c>
      <c r="D529" t="s">
        <v>178</v>
      </c>
      <c r="E529" t="s">
        <v>42</v>
      </c>
      <c r="F529" t="s">
        <v>31</v>
      </c>
      <c r="G529" t="s">
        <v>105</v>
      </c>
      <c r="H529" t="s">
        <v>24</v>
      </c>
      <c r="I529">
        <v>3</v>
      </c>
      <c r="J529">
        <v>3380</v>
      </c>
      <c r="K529">
        <v>0.1</v>
      </c>
      <c r="L529" t="s">
        <v>25</v>
      </c>
      <c r="M529" t="s">
        <v>26</v>
      </c>
      <c r="N529" t="s">
        <v>27</v>
      </c>
      <c r="O529">
        <v>10140</v>
      </c>
      <c r="P529">
        <v>1014</v>
      </c>
      <c r="Q529">
        <v>9126</v>
      </c>
      <c r="R529">
        <v>4</v>
      </c>
    </row>
    <row r="530" spans="1:18">
      <c r="A530" t="s">
        <v>606</v>
      </c>
      <c r="B530" s="2">
        <v>46135</v>
      </c>
      <c r="C530" t="s">
        <v>40</v>
      </c>
      <c r="D530" t="s">
        <v>115</v>
      </c>
      <c r="E530" t="s">
        <v>70</v>
      </c>
      <c r="F530" t="s">
        <v>22</v>
      </c>
      <c r="G530" t="s">
        <v>37</v>
      </c>
      <c r="H530" t="s">
        <v>24</v>
      </c>
      <c r="I530">
        <v>1</v>
      </c>
      <c r="J530">
        <v>59620</v>
      </c>
      <c r="K530">
        <v>0</v>
      </c>
      <c r="L530" t="s">
        <v>64</v>
      </c>
      <c r="M530" t="s">
        <v>71</v>
      </c>
      <c r="N530" t="s">
        <v>27</v>
      </c>
      <c r="O530">
        <v>59620</v>
      </c>
      <c r="P530">
        <v>0</v>
      </c>
      <c r="Q530">
        <v>59620</v>
      </c>
      <c r="R530">
        <v>2</v>
      </c>
    </row>
    <row r="531" spans="1:18">
      <c r="A531" t="s">
        <v>607</v>
      </c>
      <c r="B531" s="2">
        <v>46135</v>
      </c>
      <c r="C531" t="s">
        <v>29</v>
      </c>
      <c r="D531" t="s">
        <v>61</v>
      </c>
      <c r="E531" t="s">
        <v>70</v>
      </c>
      <c r="F531" t="s">
        <v>53</v>
      </c>
      <c r="G531" t="s">
        <v>43</v>
      </c>
      <c r="H531" t="s">
        <v>33</v>
      </c>
      <c r="I531">
        <v>1</v>
      </c>
      <c r="J531">
        <v>960</v>
      </c>
      <c r="K531">
        <v>0.08</v>
      </c>
      <c r="L531" t="s">
        <v>54</v>
      </c>
      <c r="M531" t="s">
        <v>38</v>
      </c>
      <c r="N531" t="s">
        <v>27</v>
      </c>
      <c r="O531">
        <v>960</v>
      </c>
      <c r="P531">
        <v>76.8</v>
      </c>
      <c r="Q531">
        <v>883.2</v>
      </c>
      <c r="R531">
        <v>4</v>
      </c>
    </row>
    <row r="532" spans="1:18">
      <c r="A532" t="s">
        <v>608</v>
      </c>
      <c r="B532" s="2">
        <v>46135</v>
      </c>
      <c r="C532" t="s">
        <v>40</v>
      </c>
      <c r="D532" t="s">
        <v>115</v>
      </c>
      <c r="E532" t="s">
        <v>21</v>
      </c>
      <c r="F532" t="s">
        <v>53</v>
      </c>
      <c r="G532" t="s">
        <v>152</v>
      </c>
      <c r="H532" t="s">
        <v>74</v>
      </c>
      <c r="I532">
        <v>2</v>
      </c>
      <c r="J532">
        <v>15450</v>
      </c>
      <c r="K532">
        <v>0.1</v>
      </c>
      <c r="L532" t="s">
        <v>34</v>
      </c>
      <c r="M532" t="s">
        <v>38</v>
      </c>
      <c r="N532" t="s">
        <v>27</v>
      </c>
      <c r="O532">
        <v>30900</v>
      </c>
      <c r="P532">
        <v>3090</v>
      </c>
      <c r="Q532">
        <v>27810</v>
      </c>
      <c r="R532">
        <v>2</v>
      </c>
    </row>
    <row r="533" spans="1:18">
      <c r="A533" t="s">
        <v>609</v>
      </c>
      <c r="B533" s="2">
        <v>46135</v>
      </c>
      <c r="C533" t="s">
        <v>19</v>
      </c>
      <c r="D533" t="s">
        <v>52</v>
      </c>
      <c r="E533" t="s">
        <v>42</v>
      </c>
      <c r="F533" t="s">
        <v>31</v>
      </c>
      <c r="G533" t="s">
        <v>58</v>
      </c>
      <c r="H533" t="s">
        <v>59</v>
      </c>
      <c r="I533">
        <v>3</v>
      </c>
      <c r="J533">
        <v>6860</v>
      </c>
      <c r="K533">
        <v>0.1</v>
      </c>
      <c r="L533" t="s">
        <v>54</v>
      </c>
      <c r="M533" t="s">
        <v>35</v>
      </c>
      <c r="N533" t="s">
        <v>27</v>
      </c>
      <c r="O533">
        <v>20580</v>
      </c>
      <c r="P533">
        <v>2058</v>
      </c>
      <c r="Q533">
        <v>18522</v>
      </c>
      <c r="R533">
        <v>3</v>
      </c>
    </row>
    <row r="534" spans="1:18">
      <c r="A534" t="s">
        <v>610</v>
      </c>
      <c r="B534" s="2">
        <v>46136</v>
      </c>
      <c r="C534" t="s">
        <v>40</v>
      </c>
      <c r="D534" t="s">
        <v>47</v>
      </c>
      <c r="E534" t="s">
        <v>42</v>
      </c>
      <c r="F534" t="s">
        <v>22</v>
      </c>
      <c r="G534" t="s">
        <v>92</v>
      </c>
      <c r="H534" t="s">
        <v>24</v>
      </c>
      <c r="I534">
        <v>3</v>
      </c>
      <c r="J534">
        <v>16090</v>
      </c>
      <c r="K534">
        <v>0.03</v>
      </c>
      <c r="L534" t="s">
        <v>68</v>
      </c>
      <c r="M534" t="s">
        <v>50</v>
      </c>
      <c r="N534" t="s">
        <v>27</v>
      </c>
      <c r="O534">
        <v>48270</v>
      </c>
      <c r="P534">
        <v>1448.1</v>
      </c>
      <c r="Q534">
        <v>46821.9</v>
      </c>
      <c r="R534">
        <v>3</v>
      </c>
    </row>
    <row r="535" spans="1:18">
      <c r="A535" t="s">
        <v>611</v>
      </c>
      <c r="B535" s="2">
        <v>46137</v>
      </c>
      <c r="C535" t="s">
        <v>40</v>
      </c>
      <c r="D535" t="s">
        <v>47</v>
      </c>
      <c r="E535" t="s">
        <v>42</v>
      </c>
      <c r="F535" t="s">
        <v>22</v>
      </c>
      <c r="G535" t="s">
        <v>92</v>
      </c>
      <c r="H535" t="s">
        <v>24</v>
      </c>
      <c r="I535">
        <v>1</v>
      </c>
      <c r="J535">
        <v>17400</v>
      </c>
      <c r="K535">
        <v>0</v>
      </c>
      <c r="L535" t="s">
        <v>34</v>
      </c>
      <c r="M535" t="s">
        <v>71</v>
      </c>
      <c r="N535" t="s">
        <v>27</v>
      </c>
      <c r="O535">
        <v>17400</v>
      </c>
      <c r="P535">
        <v>0</v>
      </c>
      <c r="Q535">
        <v>17400</v>
      </c>
      <c r="R535">
        <v>1</v>
      </c>
    </row>
    <row r="536" spans="1:18">
      <c r="A536" t="s">
        <v>612</v>
      </c>
      <c r="B536" s="2">
        <v>46137</v>
      </c>
      <c r="C536" t="s">
        <v>29</v>
      </c>
      <c r="D536" t="s">
        <v>30</v>
      </c>
      <c r="E536" t="s">
        <v>42</v>
      </c>
      <c r="F536" t="s">
        <v>22</v>
      </c>
      <c r="G536" t="s">
        <v>73</v>
      </c>
      <c r="H536" t="s">
        <v>74</v>
      </c>
      <c r="I536">
        <v>4</v>
      </c>
      <c r="J536">
        <v>11210</v>
      </c>
      <c r="K536">
        <v>0.08</v>
      </c>
      <c r="L536" t="s">
        <v>64</v>
      </c>
      <c r="M536" t="s">
        <v>55</v>
      </c>
      <c r="N536" t="s">
        <v>27</v>
      </c>
      <c r="O536">
        <v>44840</v>
      </c>
      <c r="P536">
        <v>3587.2</v>
      </c>
      <c r="Q536">
        <v>41252.800000000003</v>
      </c>
      <c r="R536">
        <v>4</v>
      </c>
    </row>
    <row r="537" spans="1:18">
      <c r="A537" t="s">
        <v>613</v>
      </c>
      <c r="B537" s="2">
        <v>46138</v>
      </c>
      <c r="C537" t="s">
        <v>40</v>
      </c>
      <c r="D537" t="s">
        <v>89</v>
      </c>
      <c r="E537" t="s">
        <v>21</v>
      </c>
      <c r="F537" t="s">
        <v>31</v>
      </c>
      <c r="G537" t="s">
        <v>101</v>
      </c>
      <c r="H537" t="s">
        <v>33</v>
      </c>
      <c r="I537">
        <v>1</v>
      </c>
      <c r="J537">
        <v>1900</v>
      </c>
      <c r="K537">
        <v>0</v>
      </c>
      <c r="L537" t="s">
        <v>64</v>
      </c>
      <c r="M537" t="s">
        <v>66</v>
      </c>
      <c r="N537" t="s">
        <v>27</v>
      </c>
      <c r="O537">
        <v>1900</v>
      </c>
      <c r="P537">
        <v>0</v>
      </c>
      <c r="Q537">
        <v>1900</v>
      </c>
      <c r="R537">
        <v>6</v>
      </c>
    </row>
    <row r="538" spans="1:18">
      <c r="A538" t="s">
        <v>614</v>
      </c>
      <c r="B538" s="2">
        <v>46139</v>
      </c>
      <c r="C538" t="s">
        <v>19</v>
      </c>
      <c r="D538" t="s">
        <v>20</v>
      </c>
      <c r="E538" t="s">
        <v>21</v>
      </c>
      <c r="F538" t="s">
        <v>22</v>
      </c>
      <c r="G538" t="s">
        <v>92</v>
      </c>
      <c r="H538" t="s">
        <v>24</v>
      </c>
      <c r="I538">
        <v>1</v>
      </c>
      <c r="J538">
        <v>15910</v>
      </c>
      <c r="K538">
        <v>0.05</v>
      </c>
      <c r="L538" t="s">
        <v>54</v>
      </c>
      <c r="M538" t="s">
        <v>71</v>
      </c>
      <c r="N538" t="s">
        <v>27</v>
      </c>
      <c r="O538">
        <v>15910</v>
      </c>
      <c r="P538">
        <v>795.5</v>
      </c>
      <c r="Q538">
        <v>15114.5</v>
      </c>
      <c r="R538">
        <v>4</v>
      </c>
    </row>
    <row r="539" spans="1:18">
      <c r="A539" t="s">
        <v>615</v>
      </c>
      <c r="B539" s="2">
        <v>46139</v>
      </c>
      <c r="C539" t="s">
        <v>40</v>
      </c>
      <c r="D539" t="s">
        <v>47</v>
      </c>
      <c r="E539" t="s">
        <v>42</v>
      </c>
      <c r="F539" t="s">
        <v>22</v>
      </c>
      <c r="G539" t="s">
        <v>95</v>
      </c>
      <c r="H539" t="s">
        <v>24</v>
      </c>
      <c r="I539">
        <v>2</v>
      </c>
      <c r="J539">
        <v>22690</v>
      </c>
      <c r="K539">
        <v>0.03</v>
      </c>
      <c r="L539" t="s">
        <v>68</v>
      </c>
      <c r="M539" t="s">
        <v>50</v>
      </c>
      <c r="N539" t="s">
        <v>27</v>
      </c>
      <c r="O539">
        <v>45380</v>
      </c>
      <c r="P539">
        <v>1361.4</v>
      </c>
      <c r="Q539">
        <v>44018.6</v>
      </c>
      <c r="R539">
        <v>3</v>
      </c>
    </row>
    <row r="540" spans="1:18">
      <c r="A540" t="s">
        <v>616</v>
      </c>
      <c r="B540" s="2">
        <v>46139</v>
      </c>
      <c r="C540" t="s">
        <v>19</v>
      </c>
      <c r="D540" t="s">
        <v>52</v>
      </c>
      <c r="E540" t="s">
        <v>70</v>
      </c>
      <c r="F540" t="s">
        <v>31</v>
      </c>
      <c r="G540" t="s">
        <v>105</v>
      </c>
      <c r="H540" t="s">
        <v>24</v>
      </c>
      <c r="I540">
        <v>2</v>
      </c>
      <c r="J540">
        <v>3100</v>
      </c>
      <c r="K540">
        <v>0</v>
      </c>
      <c r="L540" t="s">
        <v>34</v>
      </c>
      <c r="M540" t="s">
        <v>44</v>
      </c>
      <c r="N540" t="s">
        <v>27</v>
      </c>
      <c r="O540">
        <v>6200</v>
      </c>
      <c r="P540">
        <v>0</v>
      </c>
      <c r="Q540">
        <v>6200</v>
      </c>
      <c r="R540">
        <v>2</v>
      </c>
    </row>
    <row r="541" spans="1:18">
      <c r="A541" t="s">
        <v>617</v>
      </c>
      <c r="B541" s="2">
        <v>46140</v>
      </c>
      <c r="C541" t="s">
        <v>40</v>
      </c>
      <c r="D541" t="s">
        <v>47</v>
      </c>
      <c r="E541" t="s">
        <v>70</v>
      </c>
      <c r="F541" t="s">
        <v>22</v>
      </c>
      <c r="G541" t="s">
        <v>23</v>
      </c>
      <c r="H541" t="s">
        <v>24</v>
      </c>
      <c r="I541">
        <v>2</v>
      </c>
      <c r="J541">
        <v>26190</v>
      </c>
      <c r="K541">
        <v>0.08</v>
      </c>
      <c r="L541" t="s">
        <v>25</v>
      </c>
      <c r="M541" t="s">
        <v>44</v>
      </c>
      <c r="N541" t="s">
        <v>27</v>
      </c>
      <c r="O541">
        <v>52380</v>
      </c>
      <c r="P541">
        <v>4190.3999999999996</v>
      </c>
      <c r="Q541">
        <v>48189.599999999999</v>
      </c>
      <c r="R541">
        <v>4</v>
      </c>
    </row>
    <row r="542" spans="1:18">
      <c r="A542" t="s">
        <v>618</v>
      </c>
      <c r="B542" s="2">
        <v>46140</v>
      </c>
      <c r="C542" t="s">
        <v>40</v>
      </c>
      <c r="D542" t="s">
        <v>89</v>
      </c>
      <c r="E542" t="s">
        <v>21</v>
      </c>
      <c r="F542" t="s">
        <v>22</v>
      </c>
      <c r="G542" t="s">
        <v>58</v>
      </c>
      <c r="H542" t="s">
        <v>59</v>
      </c>
      <c r="I542">
        <v>3</v>
      </c>
      <c r="J542">
        <v>6780</v>
      </c>
      <c r="K542">
        <v>0.05</v>
      </c>
      <c r="L542" t="s">
        <v>54</v>
      </c>
      <c r="M542" t="s">
        <v>71</v>
      </c>
      <c r="N542" t="s">
        <v>27</v>
      </c>
      <c r="O542">
        <v>20340</v>
      </c>
      <c r="P542">
        <v>1017</v>
      </c>
      <c r="Q542">
        <v>19323</v>
      </c>
      <c r="R542">
        <v>2</v>
      </c>
    </row>
    <row r="543" spans="1:18">
      <c r="A543" t="s">
        <v>619</v>
      </c>
      <c r="B543" s="2">
        <v>46141</v>
      </c>
      <c r="C543" t="s">
        <v>40</v>
      </c>
      <c r="D543" t="s">
        <v>41</v>
      </c>
      <c r="E543" t="s">
        <v>42</v>
      </c>
      <c r="F543" t="s">
        <v>53</v>
      </c>
      <c r="G543" t="s">
        <v>92</v>
      </c>
      <c r="H543" t="s">
        <v>24</v>
      </c>
      <c r="I543">
        <v>2</v>
      </c>
      <c r="J543">
        <v>17070</v>
      </c>
      <c r="K543">
        <v>0</v>
      </c>
      <c r="L543" t="s">
        <v>68</v>
      </c>
      <c r="M543" t="s">
        <v>55</v>
      </c>
      <c r="N543" t="s">
        <v>27</v>
      </c>
      <c r="O543">
        <v>34140</v>
      </c>
      <c r="P543">
        <v>0</v>
      </c>
      <c r="Q543">
        <v>34140</v>
      </c>
      <c r="R543">
        <v>3</v>
      </c>
    </row>
    <row r="544" spans="1:18">
      <c r="A544" t="s">
        <v>620</v>
      </c>
      <c r="B544" s="2">
        <v>46142</v>
      </c>
      <c r="C544" t="s">
        <v>19</v>
      </c>
      <c r="D544" t="s">
        <v>52</v>
      </c>
      <c r="E544" t="s">
        <v>21</v>
      </c>
      <c r="F544" t="s">
        <v>22</v>
      </c>
      <c r="G544" t="s">
        <v>43</v>
      </c>
      <c r="H544" t="s">
        <v>33</v>
      </c>
      <c r="I544">
        <v>2</v>
      </c>
      <c r="J544">
        <v>960</v>
      </c>
      <c r="K544">
        <v>0</v>
      </c>
      <c r="L544" t="s">
        <v>34</v>
      </c>
      <c r="M544" t="s">
        <v>38</v>
      </c>
      <c r="N544" t="s">
        <v>27</v>
      </c>
      <c r="O544">
        <v>1920</v>
      </c>
      <c r="P544">
        <v>0</v>
      </c>
      <c r="Q544">
        <v>1920</v>
      </c>
      <c r="R544">
        <v>3</v>
      </c>
    </row>
    <row r="545" spans="1:18">
      <c r="A545" t="s">
        <v>621</v>
      </c>
      <c r="B545" s="2">
        <v>46143</v>
      </c>
      <c r="C545" t="s">
        <v>29</v>
      </c>
      <c r="D545" t="s">
        <v>78</v>
      </c>
      <c r="E545" t="s">
        <v>70</v>
      </c>
      <c r="F545" t="s">
        <v>31</v>
      </c>
      <c r="G545" t="s">
        <v>152</v>
      </c>
      <c r="H545" t="s">
        <v>74</v>
      </c>
      <c r="I545">
        <v>1</v>
      </c>
      <c r="J545">
        <v>15390</v>
      </c>
      <c r="K545">
        <v>0.08</v>
      </c>
      <c r="L545" t="s">
        <v>64</v>
      </c>
      <c r="M545" t="s">
        <v>38</v>
      </c>
      <c r="N545" t="s">
        <v>27</v>
      </c>
      <c r="O545">
        <v>15390</v>
      </c>
      <c r="P545">
        <v>1231.2</v>
      </c>
      <c r="Q545">
        <v>14158.8</v>
      </c>
      <c r="R545">
        <v>3</v>
      </c>
    </row>
    <row r="546" spans="1:18">
      <c r="A546" t="s">
        <v>622</v>
      </c>
      <c r="B546" s="2">
        <v>46144</v>
      </c>
      <c r="C546" t="s">
        <v>40</v>
      </c>
      <c r="D546" t="s">
        <v>47</v>
      </c>
      <c r="E546" t="s">
        <v>42</v>
      </c>
      <c r="F546" t="s">
        <v>31</v>
      </c>
      <c r="G546" t="s">
        <v>101</v>
      </c>
      <c r="H546" t="s">
        <v>33</v>
      </c>
      <c r="I546">
        <v>1</v>
      </c>
      <c r="J546">
        <v>1680</v>
      </c>
      <c r="K546">
        <v>0</v>
      </c>
      <c r="L546" t="s">
        <v>68</v>
      </c>
      <c r="M546" t="s">
        <v>44</v>
      </c>
      <c r="N546" t="s">
        <v>27</v>
      </c>
      <c r="O546">
        <v>1680</v>
      </c>
      <c r="P546">
        <v>0</v>
      </c>
      <c r="Q546">
        <v>1680</v>
      </c>
      <c r="R546">
        <v>2</v>
      </c>
    </row>
    <row r="547" spans="1:18">
      <c r="A547" t="s">
        <v>623</v>
      </c>
      <c r="B547" s="2">
        <v>46144</v>
      </c>
      <c r="C547" t="s">
        <v>40</v>
      </c>
      <c r="D547" t="s">
        <v>47</v>
      </c>
      <c r="E547" t="s">
        <v>21</v>
      </c>
      <c r="F547" t="s">
        <v>22</v>
      </c>
      <c r="G547" t="s">
        <v>58</v>
      </c>
      <c r="H547" t="s">
        <v>59</v>
      </c>
      <c r="I547">
        <v>1</v>
      </c>
      <c r="J547">
        <v>7400</v>
      </c>
      <c r="K547">
        <v>0</v>
      </c>
      <c r="L547" t="s">
        <v>68</v>
      </c>
      <c r="M547" t="s">
        <v>71</v>
      </c>
      <c r="N547" t="s">
        <v>27</v>
      </c>
      <c r="O547">
        <v>7400</v>
      </c>
      <c r="P547">
        <v>0</v>
      </c>
      <c r="Q547">
        <v>7400</v>
      </c>
      <c r="R547">
        <v>1</v>
      </c>
    </row>
    <row r="548" spans="1:18">
      <c r="A548" t="s">
        <v>624</v>
      </c>
      <c r="B548" s="2">
        <v>46145</v>
      </c>
      <c r="C548" t="s">
        <v>40</v>
      </c>
      <c r="D548" t="s">
        <v>115</v>
      </c>
      <c r="E548" t="s">
        <v>21</v>
      </c>
      <c r="F548" t="s">
        <v>31</v>
      </c>
      <c r="G548" t="s">
        <v>43</v>
      </c>
      <c r="H548" t="s">
        <v>33</v>
      </c>
      <c r="I548">
        <v>2</v>
      </c>
      <c r="J548">
        <v>1010</v>
      </c>
      <c r="K548">
        <v>0.05</v>
      </c>
      <c r="L548" t="s">
        <v>64</v>
      </c>
      <c r="M548" t="s">
        <v>66</v>
      </c>
      <c r="N548" t="s">
        <v>27</v>
      </c>
      <c r="O548">
        <v>2020</v>
      </c>
      <c r="P548">
        <v>101</v>
      </c>
      <c r="Q548">
        <v>1919</v>
      </c>
      <c r="R548">
        <v>2</v>
      </c>
    </row>
    <row r="549" spans="1:18">
      <c r="A549" t="s">
        <v>625</v>
      </c>
      <c r="B549" s="2">
        <v>46146</v>
      </c>
      <c r="C549" t="s">
        <v>40</v>
      </c>
      <c r="D549" t="s">
        <v>47</v>
      </c>
      <c r="E549" t="s">
        <v>42</v>
      </c>
      <c r="F549" t="s">
        <v>22</v>
      </c>
      <c r="G549" t="s">
        <v>32</v>
      </c>
      <c r="H549" t="s">
        <v>33</v>
      </c>
      <c r="I549">
        <v>3</v>
      </c>
      <c r="J549">
        <v>2300</v>
      </c>
      <c r="K549">
        <v>0.05</v>
      </c>
      <c r="L549" t="s">
        <v>64</v>
      </c>
      <c r="M549" t="s">
        <v>71</v>
      </c>
      <c r="N549" t="s">
        <v>27</v>
      </c>
      <c r="O549">
        <v>6900</v>
      </c>
      <c r="P549">
        <v>345</v>
      </c>
      <c r="Q549">
        <v>6555</v>
      </c>
      <c r="R549">
        <v>4</v>
      </c>
    </row>
    <row r="550" spans="1:18">
      <c r="A550" t="s">
        <v>626</v>
      </c>
      <c r="B550" s="2">
        <v>46147</v>
      </c>
      <c r="C550" t="s">
        <v>19</v>
      </c>
      <c r="D550" t="s">
        <v>57</v>
      </c>
      <c r="E550" t="s">
        <v>70</v>
      </c>
      <c r="F550" t="s">
        <v>22</v>
      </c>
      <c r="G550" t="s">
        <v>149</v>
      </c>
      <c r="H550" t="s">
        <v>33</v>
      </c>
      <c r="I550">
        <v>3</v>
      </c>
      <c r="J550">
        <v>3690</v>
      </c>
      <c r="K550">
        <v>0</v>
      </c>
      <c r="L550" t="s">
        <v>68</v>
      </c>
      <c r="M550" t="s">
        <v>26</v>
      </c>
      <c r="N550" t="s">
        <v>27</v>
      </c>
      <c r="O550">
        <v>11070</v>
      </c>
      <c r="P550">
        <v>0</v>
      </c>
      <c r="Q550">
        <v>11070</v>
      </c>
      <c r="R550">
        <v>3</v>
      </c>
    </row>
    <row r="551" spans="1:18">
      <c r="A551" t="s">
        <v>627</v>
      </c>
      <c r="B551" s="2">
        <v>46147</v>
      </c>
      <c r="C551" t="s">
        <v>40</v>
      </c>
      <c r="D551" t="s">
        <v>47</v>
      </c>
      <c r="E551" t="s">
        <v>70</v>
      </c>
      <c r="F551" t="s">
        <v>22</v>
      </c>
      <c r="G551" t="s">
        <v>92</v>
      </c>
      <c r="H551" t="s">
        <v>24</v>
      </c>
      <c r="I551">
        <v>2</v>
      </c>
      <c r="J551">
        <v>16850</v>
      </c>
      <c r="K551">
        <v>0.15</v>
      </c>
      <c r="L551" t="s">
        <v>68</v>
      </c>
      <c r="M551" t="s">
        <v>26</v>
      </c>
      <c r="N551" t="s">
        <v>27</v>
      </c>
      <c r="O551">
        <v>33700</v>
      </c>
      <c r="P551">
        <v>5055</v>
      </c>
      <c r="Q551">
        <v>28645</v>
      </c>
      <c r="R551">
        <v>1</v>
      </c>
    </row>
    <row r="552" spans="1:18">
      <c r="A552" t="s">
        <v>628</v>
      </c>
      <c r="B552" s="2">
        <v>46147</v>
      </c>
      <c r="C552" t="s">
        <v>29</v>
      </c>
      <c r="D552" t="s">
        <v>85</v>
      </c>
      <c r="E552" t="s">
        <v>21</v>
      </c>
      <c r="F552" t="s">
        <v>53</v>
      </c>
      <c r="G552" t="s">
        <v>43</v>
      </c>
      <c r="H552" t="s">
        <v>33</v>
      </c>
      <c r="I552">
        <v>3</v>
      </c>
      <c r="J552">
        <v>920</v>
      </c>
      <c r="K552">
        <v>0.03</v>
      </c>
      <c r="L552" t="s">
        <v>68</v>
      </c>
      <c r="M552" t="s">
        <v>44</v>
      </c>
      <c r="N552" t="s">
        <v>27</v>
      </c>
      <c r="O552">
        <v>2760</v>
      </c>
      <c r="P552">
        <v>82.8</v>
      </c>
      <c r="Q552">
        <v>2677.2</v>
      </c>
      <c r="R552">
        <v>2</v>
      </c>
    </row>
    <row r="553" spans="1:18">
      <c r="A553" t="s">
        <v>629</v>
      </c>
      <c r="B553" s="2">
        <v>46147</v>
      </c>
      <c r="C553" t="s">
        <v>40</v>
      </c>
      <c r="D553" t="s">
        <v>89</v>
      </c>
      <c r="E553" t="s">
        <v>21</v>
      </c>
      <c r="F553" t="s">
        <v>31</v>
      </c>
      <c r="G553" t="s">
        <v>62</v>
      </c>
      <c r="H553" t="s">
        <v>33</v>
      </c>
      <c r="I553">
        <v>1</v>
      </c>
      <c r="J553">
        <v>1730</v>
      </c>
      <c r="K553">
        <v>0.1</v>
      </c>
      <c r="L553" t="s">
        <v>68</v>
      </c>
      <c r="M553" t="s">
        <v>38</v>
      </c>
      <c r="N553" t="s">
        <v>27</v>
      </c>
      <c r="O553">
        <v>1730</v>
      </c>
      <c r="P553">
        <v>173</v>
      </c>
      <c r="Q553">
        <v>1557</v>
      </c>
      <c r="R553">
        <v>3</v>
      </c>
    </row>
    <row r="554" spans="1:18">
      <c r="A554" t="s">
        <v>630</v>
      </c>
      <c r="B554" s="2">
        <v>46148</v>
      </c>
      <c r="C554" t="s">
        <v>82</v>
      </c>
      <c r="D554" t="s">
        <v>178</v>
      </c>
      <c r="E554" t="s">
        <v>21</v>
      </c>
      <c r="F554" t="s">
        <v>31</v>
      </c>
      <c r="G554" t="s">
        <v>23</v>
      </c>
      <c r="H554" t="s">
        <v>24</v>
      </c>
      <c r="I554">
        <v>2</v>
      </c>
      <c r="J554">
        <v>28040</v>
      </c>
      <c r="K554">
        <v>0.03</v>
      </c>
      <c r="L554" t="s">
        <v>68</v>
      </c>
      <c r="M554" t="s">
        <v>44</v>
      </c>
      <c r="N554" t="s">
        <v>27</v>
      </c>
      <c r="O554">
        <v>56080</v>
      </c>
      <c r="P554">
        <v>1682.4</v>
      </c>
      <c r="Q554">
        <v>54397.599999999999</v>
      </c>
      <c r="R554">
        <v>1</v>
      </c>
    </row>
    <row r="555" spans="1:18">
      <c r="A555" t="s">
        <v>631</v>
      </c>
      <c r="B555" s="2">
        <v>46148</v>
      </c>
      <c r="C555" t="s">
        <v>82</v>
      </c>
      <c r="D555" t="s">
        <v>122</v>
      </c>
      <c r="E555" t="s">
        <v>42</v>
      </c>
      <c r="F555" t="s">
        <v>22</v>
      </c>
      <c r="G555" t="s">
        <v>23</v>
      </c>
      <c r="H555" t="s">
        <v>24</v>
      </c>
      <c r="I555">
        <v>1</v>
      </c>
      <c r="J555">
        <v>28860</v>
      </c>
      <c r="K555">
        <v>0.05</v>
      </c>
      <c r="L555" t="s">
        <v>64</v>
      </c>
      <c r="M555" t="s">
        <v>44</v>
      </c>
      <c r="N555" t="s">
        <v>27</v>
      </c>
      <c r="O555">
        <v>28860</v>
      </c>
      <c r="P555">
        <v>1443</v>
      </c>
      <c r="Q555">
        <v>27417</v>
      </c>
      <c r="R555">
        <v>3</v>
      </c>
    </row>
    <row r="556" spans="1:18">
      <c r="A556" t="s">
        <v>632</v>
      </c>
      <c r="B556" s="2">
        <v>46149</v>
      </c>
      <c r="C556" t="s">
        <v>19</v>
      </c>
      <c r="D556" t="s">
        <v>20</v>
      </c>
      <c r="E556" t="s">
        <v>21</v>
      </c>
      <c r="F556" t="s">
        <v>22</v>
      </c>
      <c r="G556" t="s">
        <v>37</v>
      </c>
      <c r="H556" t="s">
        <v>24</v>
      </c>
      <c r="I556">
        <v>3</v>
      </c>
      <c r="J556">
        <v>65560</v>
      </c>
      <c r="K556">
        <v>0</v>
      </c>
      <c r="L556" t="s">
        <v>54</v>
      </c>
      <c r="M556" t="s">
        <v>71</v>
      </c>
      <c r="N556" t="s">
        <v>27</v>
      </c>
      <c r="O556">
        <v>196680</v>
      </c>
      <c r="P556">
        <v>0</v>
      </c>
      <c r="Q556">
        <v>196680</v>
      </c>
      <c r="R556">
        <v>1</v>
      </c>
    </row>
    <row r="557" spans="1:18">
      <c r="A557" t="s">
        <v>633</v>
      </c>
      <c r="B557" s="2">
        <v>46149</v>
      </c>
      <c r="C557" t="s">
        <v>29</v>
      </c>
      <c r="D557" t="s">
        <v>30</v>
      </c>
      <c r="E557" t="s">
        <v>42</v>
      </c>
      <c r="F557" t="s">
        <v>22</v>
      </c>
      <c r="G557" t="s">
        <v>92</v>
      </c>
      <c r="H557" t="s">
        <v>24</v>
      </c>
      <c r="I557">
        <v>2</v>
      </c>
      <c r="J557">
        <v>17430</v>
      </c>
      <c r="K557">
        <v>0.1</v>
      </c>
      <c r="L557" t="s">
        <v>25</v>
      </c>
      <c r="M557" t="s">
        <v>66</v>
      </c>
      <c r="N557" t="s">
        <v>27</v>
      </c>
      <c r="O557">
        <v>34860</v>
      </c>
      <c r="P557">
        <v>3486</v>
      </c>
      <c r="Q557">
        <v>31374</v>
      </c>
      <c r="R557">
        <v>2</v>
      </c>
    </row>
    <row r="558" spans="1:18">
      <c r="A558" t="s">
        <v>634</v>
      </c>
      <c r="B558" s="2">
        <v>46149</v>
      </c>
      <c r="C558" t="s">
        <v>40</v>
      </c>
      <c r="D558" t="s">
        <v>47</v>
      </c>
      <c r="E558" t="s">
        <v>21</v>
      </c>
      <c r="F558" t="s">
        <v>31</v>
      </c>
      <c r="G558" t="s">
        <v>37</v>
      </c>
      <c r="H558" t="s">
        <v>24</v>
      </c>
      <c r="I558">
        <v>2</v>
      </c>
      <c r="J558">
        <v>59770</v>
      </c>
      <c r="K558">
        <v>0.05</v>
      </c>
      <c r="L558" t="s">
        <v>54</v>
      </c>
      <c r="M558" t="s">
        <v>44</v>
      </c>
      <c r="N558" t="s">
        <v>27</v>
      </c>
      <c r="O558">
        <v>119540</v>
      </c>
      <c r="P558">
        <v>5977</v>
      </c>
      <c r="Q558">
        <v>113563</v>
      </c>
      <c r="R558">
        <v>2</v>
      </c>
    </row>
    <row r="559" spans="1:18">
      <c r="A559" t="s">
        <v>635</v>
      </c>
      <c r="B559" s="2">
        <v>46149</v>
      </c>
      <c r="C559" t="s">
        <v>29</v>
      </c>
      <c r="D559" t="s">
        <v>30</v>
      </c>
      <c r="E559" t="s">
        <v>42</v>
      </c>
      <c r="F559" t="s">
        <v>22</v>
      </c>
      <c r="G559" t="s">
        <v>95</v>
      </c>
      <c r="H559" t="s">
        <v>24</v>
      </c>
      <c r="I559">
        <v>4</v>
      </c>
      <c r="J559">
        <v>21080</v>
      </c>
      <c r="K559">
        <v>0.05</v>
      </c>
      <c r="L559" t="s">
        <v>54</v>
      </c>
      <c r="M559" t="s">
        <v>50</v>
      </c>
      <c r="N559" t="s">
        <v>27</v>
      </c>
      <c r="O559">
        <v>84320</v>
      </c>
      <c r="P559">
        <v>4216</v>
      </c>
      <c r="Q559">
        <v>80104</v>
      </c>
      <c r="R559">
        <v>3</v>
      </c>
    </row>
    <row r="560" spans="1:18">
      <c r="A560" t="s">
        <v>636</v>
      </c>
      <c r="B560" s="2">
        <v>46149</v>
      </c>
      <c r="C560" t="s">
        <v>40</v>
      </c>
      <c r="D560" t="s">
        <v>115</v>
      </c>
      <c r="E560" t="s">
        <v>21</v>
      </c>
      <c r="F560" t="s">
        <v>31</v>
      </c>
      <c r="G560" t="s">
        <v>43</v>
      </c>
      <c r="H560" t="s">
        <v>33</v>
      </c>
      <c r="I560">
        <v>4</v>
      </c>
      <c r="J560">
        <v>910</v>
      </c>
      <c r="K560">
        <v>0</v>
      </c>
      <c r="L560" t="s">
        <v>64</v>
      </c>
      <c r="M560" t="s">
        <v>71</v>
      </c>
      <c r="N560" t="s">
        <v>27</v>
      </c>
      <c r="O560">
        <v>3640</v>
      </c>
      <c r="P560">
        <v>0</v>
      </c>
      <c r="Q560">
        <v>3640</v>
      </c>
      <c r="R560">
        <v>6</v>
      </c>
    </row>
    <row r="561" spans="1:18">
      <c r="A561" t="s">
        <v>637</v>
      </c>
      <c r="B561" s="2">
        <v>46151</v>
      </c>
      <c r="C561" t="s">
        <v>19</v>
      </c>
      <c r="D561" t="s">
        <v>52</v>
      </c>
      <c r="E561" t="s">
        <v>42</v>
      </c>
      <c r="F561" t="s">
        <v>53</v>
      </c>
      <c r="G561" t="s">
        <v>149</v>
      </c>
      <c r="H561" t="s">
        <v>33</v>
      </c>
      <c r="I561">
        <v>1</v>
      </c>
      <c r="J561">
        <v>3800</v>
      </c>
      <c r="K561">
        <v>0.05</v>
      </c>
      <c r="L561" t="s">
        <v>54</v>
      </c>
      <c r="M561" t="s">
        <v>38</v>
      </c>
      <c r="N561" t="s">
        <v>27</v>
      </c>
      <c r="O561">
        <v>3800</v>
      </c>
      <c r="P561">
        <v>190</v>
      </c>
      <c r="Q561">
        <v>3610</v>
      </c>
      <c r="R561">
        <v>5</v>
      </c>
    </row>
    <row r="562" spans="1:18">
      <c r="A562" t="s">
        <v>638</v>
      </c>
      <c r="B562" s="2">
        <v>46151</v>
      </c>
      <c r="C562" t="s">
        <v>40</v>
      </c>
      <c r="D562" t="s">
        <v>115</v>
      </c>
      <c r="E562" t="s">
        <v>42</v>
      </c>
      <c r="F562" t="s">
        <v>31</v>
      </c>
      <c r="G562" t="s">
        <v>23</v>
      </c>
      <c r="H562" t="s">
        <v>24</v>
      </c>
      <c r="I562">
        <v>3</v>
      </c>
      <c r="J562">
        <v>29430</v>
      </c>
      <c r="K562">
        <v>0.15</v>
      </c>
      <c r="L562" t="s">
        <v>68</v>
      </c>
      <c r="M562" t="s">
        <v>44</v>
      </c>
      <c r="N562" t="s">
        <v>27</v>
      </c>
      <c r="O562">
        <v>88290</v>
      </c>
      <c r="P562">
        <v>13243.5</v>
      </c>
      <c r="Q562">
        <v>75046.5</v>
      </c>
      <c r="R562">
        <v>3</v>
      </c>
    </row>
    <row r="563" spans="1:18">
      <c r="A563" t="s">
        <v>639</v>
      </c>
      <c r="B563" s="2">
        <v>46153</v>
      </c>
      <c r="C563" t="s">
        <v>40</v>
      </c>
      <c r="D563" t="s">
        <v>115</v>
      </c>
      <c r="E563" t="s">
        <v>42</v>
      </c>
      <c r="F563" t="s">
        <v>53</v>
      </c>
      <c r="G563" t="s">
        <v>62</v>
      </c>
      <c r="H563" t="s">
        <v>33</v>
      </c>
      <c r="I563">
        <v>1</v>
      </c>
      <c r="J563">
        <v>1860</v>
      </c>
      <c r="K563">
        <v>0.05</v>
      </c>
      <c r="L563" t="s">
        <v>68</v>
      </c>
      <c r="M563" t="s">
        <v>55</v>
      </c>
      <c r="N563" t="s">
        <v>27</v>
      </c>
      <c r="O563">
        <v>1860</v>
      </c>
      <c r="P563">
        <v>93</v>
      </c>
      <c r="Q563">
        <v>1767</v>
      </c>
      <c r="R563">
        <v>3</v>
      </c>
    </row>
    <row r="564" spans="1:18">
      <c r="A564" t="s">
        <v>640</v>
      </c>
      <c r="B564" s="2">
        <v>46153</v>
      </c>
      <c r="C564" t="s">
        <v>40</v>
      </c>
      <c r="D564" t="s">
        <v>115</v>
      </c>
      <c r="E564" t="s">
        <v>21</v>
      </c>
      <c r="F564" t="s">
        <v>22</v>
      </c>
      <c r="G564" t="s">
        <v>152</v>
      </c>
      <c r="H564" t="s">
        <v>74</v>
      </c>
      <c r="I564">
        <v>5</v>
      </c>
      <c r="J564">
        <v>14460</v>
      </c>
      <c r="K564">
        <v>0.03</v>
      </c>
      <c r="L564" t="s">
        <v>34</v>
      </c>
      <c r="M564" t="s">
        <v>44</v>
      </c>
      <c r="N564" t="s">
        <v>27</v>
      </c>
      <c r="O564">
        <v>72300</v>
      </c>
      <c r="P564">
        <v>2169</v>
      </c>
      <c r="Q564">
        <v>70131</v>
      </c>
      <c r="R564">
        <v>1</v>
      </c>
    </row>
    <row r="565" spans="1:18">
      <c r="A565" t="s">
        <v>641</v>
      </c>
      <c r="B565" s="2">
        <v>46154</v>
      </c>
      <c r="C565" t="s">
        <v>40</v>
      </c>
      <c r="D565" t="s">
        <v>47</v>
      </c>
      <c r="E565" t="s">
        <v>42</v>
      </c>
      <c r="F565" t="s">
        <v>22</v>
      </c>
      <c r="G565" t="s">
        <v>95</v>
      </c>
      <c r="H565" t="s">
        <v>24</v>
      </c>
      <c r="I565">
        <v>2</v>
      </c>
      <c r="J565">
        <v>20620</v>
      </c>
      <c r="K565">
        <v>0.03</v>
      </c>
      <c r="L565" t="s">
        <v>34</v>
      </c>
      <c r="M565" t="s">
        <v>71</v>
      </c>
      <c r="N565" t="s">
        <v>27</v>
      </c>
      <c r="O565">
        <v>41240</v>
      </c>
      <c r="P565">
        <v>1237.2</v>
      </c>
      <c r="Q565">
        <v>40002.800000000003</v>
      </c>
      <c r="R565">
        <v>1</v>
      </c>
    </row>
    <row r="566" spans="1:18">
      <c r="A566" t="s">
        <v>642</v>
      </c>
      <c r="B566" s="2">
        <v>46155</v>
      </c>
      <c r="C566" t="s">
        <v>29</v>
      </c>
      <c r="D566" t="s">
        <v>78</v>
      </c>
      <c r="E566" t="s">
        <v>70</v>
      </c>
      <c r="F566" t="s">
        <v>22</v>
      </c>
      <c r="G566" t="s">
        <v>105</v>
      </c>
      <c r="H566" t="s">
        <v>24</v>
      </c>
      <c r="I566">
        <v>5</v>
      </c>
      <c r="J566">
        <v>3200</v>
      </c>
      <c r="K566">
        <v>0.03</v>
      </c>
      <c r="L566" t="s">
        <v>34</v>
      </c>
      <c r="M566" t="s">
        <v>66</v>
      </c>
      <c r="N566" t="s">
        <v>27</v>
      </c>
      <c r="O566">
        <v>16000</v>
      </c>
      <c r="P566">
        <v>480</v>
      </c>
      <c r="Q566">
        <v>15520</v>
      </c>
      <c r="R566">
        <v>2</v>
      </c>
    </row>
    <row r="567" spans="1:18">
      <c r="A567" t="s">
        <v>643</v>
      </c>
      <c r="B567" s="2">
        <v>46156</v>
      </c>
      <c r="C567" t="s">
        <v>40</v>
      </c>
      <c r="D567" t="s">
        <v>115</v>
      </c>
      <c r="E567" t="s">
        <v>42</v>
      </c>
      <c r="F567" t="s">
        <v>22</v>
      </c>
      <c r="G567" t="s">
        <v>92</v>
      </c>
      <c r="H567" t="s">
        <v>24</v>
      </c>
      <c r="I567">
        <v>4</v>
      </c>
      <c r="J567">
        <v>16780</v>
      </c>
      <c r="K567">
        <v>0.08</v>
      </c>
      <c r="L567" t="s">
        <v>68</v>
      </c>
      <c r="M567" t="s">
        <v>50</v>
      </c>
      <c r="N567" t="s">
        <v>27</v>
      </c>
      <c r="O567">
        <v>67120</v>
      </c>
      <c r="P567">
        <v>5369.6</v>
      </c>
      <c r="Q567">
        <v>61750.400000000001</v>
      </c>
      <c r="R567">
        <v>5</v>
      </c>
    </row>
    <row r="568" spans="1:18">
      <c r="A568" t="s">
        <v>644</v>
      </c>
      <c r="B568" s="2">
        <v>46156</v>
      </c>
      <c r="C568" t="s">
        <v>29</v>
      </c>
      <c r="D568" t="s">
        <v>30</v>
      </c>
      <c r="E568" t="s">
        <v>42</v>
      </c>
      <c r="F568" t="s">
        <v>22</v>
      </c>
      <c r="G568" t="s">
        <v>37</v>
      </c>
      <c r="H568" t="s">
        <v>24</v>
      </c>
      <c r="I568">
        <v>5</v>
      </c>
      <c r="J568">
        <v>61610</v>
      </c>
      <c r="K568">
        <v>0.03</v>
      </c>
      <c r="L568" t="s">
        <v>68</v>
      </c>
      <c r="M568" t="s">
        <v>55</v>
      </c>
      <c r="N568" t="s">
        <v>27</v>
      </c>
      <c r="O568">
        <v>308050</v>
      </c>
      <c r="P568">
        <v>9241.5</v>
      </c>
      <c r="Q568">
        <v>298808.5</v>
      </c>
      <c r="R568">
        <v>2</v>
      </c>
    </row>
    <row r="569" spans="1:18">
      <c r="A569" t="s">
        <v>645</v>
      </c>
      <c r="B569" s="2">
        <v>46157</v>
      </c>
      <c r="C569" t="s">
        <v>40</v>
      </c>
      <c r="D569" t="s">
        <v>41</v>
      </c>
      <c r="E569" t="s">
        <v>21</v>
      </c>
      <c r="F569" t="s">
        <v>53</v>
      </c>
      <c r="G569" t="s">
        <v>73</v>
      </c>
      <c r="H569" t="s">
        <v>74</v>
      </c>
      <c r="I569">
        <v>4</v>
      </c>
      <c r="J569">
        <v>11220</v>
      </c>
      <c r="K569">
        <v>0.05</v>
      </c>
      <c r="L569" t="s">
        <v>54</v>
      </c>
      <c r="M569" t="s">
        <v>26</v>
      </c>
      <c r="N569" t="s">
        <v>27</v>
      </c>
      <c r="O569">
        <v>44880</v>
      </c>
      <c r="P569">
        <v>2244</v>
      </c>
      <c r="Q569">
        <v>42636</v>
      </c>
      <c r="R569">
        <v>4</v>
      </c>
    </row>
    <row r="570" spans="1:18">
      <c r="A570" t="s">
        <v>646</v>
      </c>
      <c r="B570" s="2">
        <v>46157</v>
      </c>
      <c r="C570" t="s">
        <v>19</v>
      </c>
      <c r="D570" t="s">
        <v>20</v>
      </c>
      <c r="E570" t="s">
        <v>21</v>
      </c>
      <c r="F570" t="s">
        <v>22</v>
      </c>
      <c r="G570" t="s">
        <v>105</v>
      </c>
      <c r="H570" t="s">
        <v>24</v>
      </c>
      <c r="I570">
        <v>2</v>
      </c>
      <c r="J570">
        <v>3180</v>
      </c>
      <c r="K570">
        <v>0.1</v>
      </c>
      <c r="L570" t="s">
        <v>34</v>
      </c>
      <c r="M570" t="s">
        <v>26</v>
      </c>
      <c r="N570" t="s">
        <v>27</v>
      </c>
      <c r="O570">
        <v>6360</v>
      </c>
      <c r="P570">
        <v>636</v>
      </c>
      <c r="Q570">
        <v>5724</v>
      </c>
      <c r="R570">
        <v>1</v>
      </c>
    </row>
    <row r="571" spans="1:18">
      <c r="A571" t="s">
        <v>647</v>
      </c>
      <c r="B571" s="2">
        <v>46157</v>
      </c>
      <c r="C571" t="s">
        <v>19</v>
      </c>
      <c r="D571" t="s">
        <v>103</v>
      </c>
      <c r="E571" t="s">
        <v>21</v>
      </c>
      <c r="F571" t="s">
        <v>22</v>
      </c>
      <c r="G571" t="s">
        <v>43</v>
      </c>
      <c r="H571" t="s">
        <v>33</v>
      </c>
      <c r="I571">
        <v>3</v>
      </c>
      <c r="J571">
        <v>990</v>
      </c>
      <c r="K571">
        <v>0.05</v>
      </c>
      <c r="L571" t="s">
        <v>34</v>
      </c>
      <c r="M571" t="s">
        <v>55</v>
      </c>
      <c r="N571" t="s">
        <v>27</v>
      </c>
      <c r="O571">
        <v>2970</v>
      </c>
      <c r="P571">
        <v>148.5</v>
      </c>
      <c r="Q571">
        <v>2821.5</v>
      </c>
      <c r="R571">
        <v>2</v>
      </c>
    </row>
    <row r="572" spans="1:18">
      <c r="A572" t="s">
        <v>648</v>
      </c>
      <c r="B572" s="2">
        <v>46158</v>
      </c>
      <c r="C572" t="s">
        <v>29</v>
      </c>
      <c r="D572" t="s">
        <v>61</v>
      </c>
      <c r="E572" t="s">
        <v>21</v>
      </c>
      <c r="F572" t="s">
        <v>22</v>
      </c>
      <c r="G572" t="s">
        <v>73</v>
      </c>
      <c r="H572" t="s">
        <v>74</v>
      </c>
      <c r="I572">
        <v>4</v>
      </c>
      <c r="J572">
        <v>11710</v>
      </c>
      <c r="K572">
        <v>0.05</v>
      </c>
      <c r="L572" t="s">
        <v>68</v>
      </c>
      <c r="M572" t="s">
        <v>38</v>
      </c>
      <c r="N572" t="s">
        <v>27</v>
      </c>
      <c r="O572">
        <v>46840</v>
      </c>
      <c r="P572">
        <v>2342</v>
      </c>
      <c r="Q572">
        <v>44498</v>
      </c>
      <c r="R572">
        <v>4</v>
      </c>
    </row>
    <row r="573" spans="1:18">
      <c r="A573" t="s">
        <v>649</v>
      </c>
      <c r="B573" s="2">
        <v>46158</v>
      </c>
      <c r="C573" t="s">
        <v>19</v>
      </c>
      <c r="D573" t="s">
        <v>103</v>
      </c>
      <c r="E573" t="s">
        <v>70</v>
      </c>
      <c r="F573" t="s">
        <v>22</v>
      </c>
      <c r="G573" t="s">
        <v>152</v>
      </c>
      <c r="H573" t="s">
        <v>74</v>
      </c>
      <c r="I573">
        <v>2</v>
      </c>
      <c r="J573">
        <v>15510</v>
      </c>
      <c r="K573">
        <v>0.03</v>
      </c>
      <c r="L573" t="s">
        <v>54</v>
      </c>
      <c r="M573" t="s">
        <v>26</v>
      </c>
      <c r="N573" t="s">
        <v>27</v>
      </c>
      <c r="O573">
        <v>31020</v>
      </c>
      <c r="P573">
        <v>930.6</v>
      </c>
      <c r="Q573">
        <v>30089.4</v>
      </c>
      <c r="R573">
        <v>7</v>
      </c>
    </row>
    <row r="574" spans="1:18">
      <c r="A574" t="s">
        <v>650</v>
      </c>
      <c r="B574" s="2">
        <v>46159</v>
      </c>
      <c r="C574" t="s">
        <v>19</v>
      </c>
      <c r="D574" t="s">
        <v>52</v>
      </c>
      <c r="E574" t="s">
        <v>21</v>
      </c>
      <c r="F574" t="s">
        <v>22</v>
      </c>
      <c r="G574" t="s">
        <v>95</v>
      </c>
      <c r="H574" t="s">
        <v>24</v>
      </c>
      <c r="I574">
        <v>1</v>
      </c>
      <c r="J574">
        <v>22250</v>
      </c>
      <c r="K574">
        <v>0.08</v>
      </c>
      <c r="L574" t="s">
        <v>68</v>
      </c>
      <c r="M574" t="s">
        <v>44</v>
      </c>
      <c r="N574" t="s">
        <v>27</v>
      </c>
      <c r="O574">
        <v>22250</v>
      </c>
      <c r="P574">
        <v>1780</v>
      </c>
      <c r="Q574">
        <v>20470</v>
      </c>
      <c r="R574">
        <v>2</v>
      </c>
    </row>
    <row r="575" spans="1:18">
      <c r="A575" t="s">
        <v>651</v>
      </c>
      <c r="B575" s="2">
        <v>46159</v>
      </c>
      <c r="C575" t="s">
        <v>29</v>
      </c>
      <c r="D575" t="s">
        <v>78</v>
      </c>
      <c r="E575" t="s">
        <v>21</v>
      </c>
      <c r="F575" t="s">
        <v>22</v>
      </c>
      <c r="G575" t="s">
        <v>43</v>
      </c>
      <c r="H575" t="s">
        <v>33</v>
      </c>
      <c r="I575">
        <v>1</v>
      </c>
      <c r="J575">
        <v>880</v>
      </c>
      <c r="K575">
        <v>0.1</v>
      </c>
      <c r="L575" t="s">
        <v>54</v>
      </c>
      <c r="M575" t="s">
        <v>38</v>
      </c>
      <c r="N575" t="s">
        <v>27</v>
      </c>
      <c r="O575">
        <v>880</v>
      </c>
      <c r="P575">
        <v>88</v>
      </c>
      <c r="Q575">
        <v>792</v>
      </c>
      <c r="R575">
        <v>1</v>
      </c>
    </row>
    <row r="576" spans="1:18">
      <c r="A576" t="s">
        <v>652</v>
      </c>
      <c r="B576" s="2">
        <v>46160</v>
      </c>
      <c r="C576" t="s">
        <v>40</v>
      </c>
      <c r="D576" t="s">
        <v>47</v>
      </c>
      <c r="E576" t="s">
        <v>21</v>
      </c>
      <c r="F576" t="s">
        <v>22</v>
      </c>
      <c r="G576" t="s">
        <v>101</v>
      </c>
      <c r="H576" t="s">
        <v>33</v>
      </c>
      <c r="I576">
        <v>1</v>
      </c>
      <c r="J576">
        <v>1850</v>
      </c>
      <c r="K576">
        <v>0.05</v>
      </c>
      <c r="L576" t="s">
        <v>25</v>
      </c>
      <c r="M576" t="s">
        <v>44</v>
      </c>
      <c r="N576" t="s">
        <v>130</v>
      </c>
      <c r="O576">
        <v>1850</v>
      </c>
      <c r="P576">
        <v>92.5</v>
      </c>
      <c r="Q576">
        <v>1757.5</v>
      </c>
      <c r="R576">
        <v>2</v>
      </c>
    </row>
    <row r="577" spans="1:18">
      <c r="A577" t="s">
        <v>653</v>
      </c>
      <c r="B577" s="2">
        <v>46160</v>
      </c>
      <c r="C577" t="s">
        <v>40</v>
      </c>
      <c r="D577" t="s">
        <v>115</v>
      </c>
      <c r="E577" t="s">
        <v>21</v>
      </c>
      <c r="F577" t="s">
        <v>22</v>
      </c>
      <c r="G577" t="s">
        <v>23</v>
      </c>
      <c r="H577" t="s">
        <v>24</v>
      </c>
      <c r="I577">
        <v>2</v>
      </c>
      <c r="J577">
        <v>28470</v>
      </c>
      <c r="K577">
        <v>0.08</v>
      </c>
      <c r="L577" t="s">
        <v>54</v>
      </c>
      <c r="M577" t="s">
        <v>71</v>
      </c>
      <c r="N577" t="s">
        <v>27</v>
      </c>
      <c r="O577">
        <v>56940</v>
      </c>
      <c r="P577">
        <v>4555.2</v>
      </c>
      <c r="Q577">
        <v>52384.800000000003</v>
      </c>
      <c r="R577">
        <v>2</v>
      </c>
    </row>
    <row r="578" spans="1:18">
      <c r="A578" t="s">
        <v>654</v>
      </c>
      <c r="B578" s="2">
        <v>46160</v>
      </c>
      <c r="C578" t="s">
        <v>29</v>
      </c>
      <c r="D578" t="s">
        <v>30</v>
      </c>
      <c r="E578" t="s">
        <v>21</v>
      </c>
      <c r="F578" t="s">
        <v>22</v>
      </c>
      <c r="G578" t="s">
        <v>73</v>
      </c>
      <c r="H578" t="s">
        <v>74</v>
      </c>
      <c r="I578">
        <v>1</v>
      </c>
      <c r="J578">
        <v>11610</v>
      </c>
      <c r="K578">
        <v>0.05</v>
      </c>
      <c r="L578" t="s">
        <v>68</v>
      </c>
      <c r="M578" t="s">
        <v>35</v>
      </c>
      <c r="N578" t="s">
        <v>27</v>
      </c>
      <c r="O578">
        <v>11610</v>
      </c>
      <c r="P578">
        <v>580.5</v>
      </c>
      <c r="Q578">
        <v>11029.5</v>
      </c>
      <c r="R578">
        <v>2</v>
      </c>
    </row>
    <row r="579" spans="1:18">
      <c r="A579" t="s">
        <v>655</v>
      </c>
      <c r="B579" s="2">
        <v>46162</v>
      </c>
      <c r="C579" t="s">
        <v>40</v>
      </c>
      <c r="D579" t="s">
        <v>47</v>
      </c>
      <c r="E579" t="s">
        <v>42</v>
      </c>
      <c r="F579" t="s">
        <v>53</v>
      </c>
      <c r="G579" t="s">
        <v>92</v>
      </c>
      <c r="H579" t="s">
        <v>24</v>
      </c>
      <c r="I579">
        <v>3</v>
      </c>
      <c r="J579">
        <v>15470</v>
      </c>
      <c r="K579">
        <v>0.05</v>
      </c>
      <c r="L579" t="s">
        <v>64</v>
      </c>
      <c r="M579" t="s">
        <v>26</v>
      </c>
      <c r="N579" t="s">
        <v>27</v>
      </c>
      <c r="O579">
        <v>46410</v>
      </c>
      <c r="P579">
        <v>2320.5</v>
      </c>
      <c r="Q579">
        <v>44089.5</v>
      </c>
      <c r="R579">
        <v>2</v>
      </c>
    </row>
    <row r="580" spans="1:18">
      <c r="A580" t="s">
        <v>656</v>
      </c>
      <c r="B580" s="2">
        <v>46163</v>
      </c>
      <c r="C580" t="s">
        <v>82</v>
      </c>
      <c r="D580" t="s">
        <v>83</v>
      </c>
      <c r="E580" t="s">
        <v>42</v>
      </c>
      <c r="F580" t="s">
        <v>22</v>
      </c>
      <c r="G580" t="s">
        <v>37</v>
      </c>
      <c r="H580" t="s">
        <v>24</v>
      </c>
      <c r="I580">
        <v>4</v>
      </c>
      <c r="J580">
        <v>63490</v>
      </c>
      <c r="K580">
        <v>0.1</v>
      </c>
      <c r="L580" t="s">
        <v>64</v>
      </c>
      <c r="M580" t="s">
        <v>55</v>
      </c>
      <c r="N580" t="s">
        <v>27</v>
      </c>
      <c r="O580">
        <v>253960</v>
      </c>
      <c r="P580">
        <v>25396</v>
      </c>
      <c r="Q580">
        <v>228564</v>
      </c>
      <c r="R580">
        <v>2</v>
      </c>
    </row>
    <row r="581" spans="1:18">
      <c r="A581" t="s">
        <v>657</v>
      </c>
      <c r="B581" s="2">
        <v>46163</v>
      </c>
      <c r="C581" t="s">
        <v>19</v>
      </c>
      <c r="D581" t="s">
        <v>20</v>
      </c>
      <c r="E581" t="s">
        <v>42</v>
      </c>
      <c r="F581" t="s">
        <v>53</v>
      </c>
      <c r="G581" t="s">
        <v>62</v>
      </c>
      <c r="H581" t="s">
        <v>33</v>
      </c>
      <c r="I581">
        <v>1</v>
      </c>
      <c r="J581">
        <v>1830</v>
      </c>
      <c r="K581">
        <v>0.05</v>
      </c>
      <c r="L581" t="s">
        <v>54</v>
      </c>
      <c r="M581" t="s">
        <v>38</v>
      </c>
      <c r="N581" t="s">
        <v>27</v>
      </c>
      <c r="O581">
        <v>1830</v>
      </c>
      <c r="P581">
        <v>91.5</v>
      </c>
      <c r="Q581">
        <v>1738.5</v>
      </c>
      <c r="R581">
        <v>2</v>
      </c>
    </row>
    <row r="582" spans="1:18">
      <c r="A582" t="s">
        <v>658</v>
      </c>
      <c r="B582" s="2">
        <v>46163</v>
      </c>
      <c r="C582" t="s">
        <v>19</v>
      </c>
      <c r="D582" t="s">
        <v>20</v>
      </c>
      <c r="E582" t="s">
        <v>70</v>
      </c>
      <c r="F582" t="s">
        <v>53</v>
      </c>
      <c r="G582" t="s">
        <v>58</v>
      </c>
      <c r="H582" t="s">
        <v>59</v>
      </c>
      <c r="I582">
        <v>1</v>
      </c>
      <c r="J582">
        <v>6860</v>
      </c>
      <c r="K582">
        <v>0</v>
      </c>
      <c r="L582" t="s">
        <v>54</v>
      </c>
      <c r="M582" t="s">
        <v>35</v>
      </c>
      <c r="N582" t="s">
        <v>27</v>
      </c>
      <c r="O582">
        <v>6860</v>
      </c>
      <c r="P582">
        <v>0</v>
      </c>
      <c r="Q582">
        <v>6860</v>
      </c>
      <c r="R582">
        <v>2</v>
      </c>
    </row>
    <row r="583" spans="1:18">
      <c r="A583" t="s">
        <v>659</v>
      </c>
      <c r="B583" s="2">
        <v>46164</v>
      </c>
      <c r="C583" t="s">
        <v>29</v>
      </c>
      <c r="D583" t="s">
        <v>30</v>
      </c>
      <c r="E583" t="s">
        <v>21</v>
      </c>
      <c r="F583" t="s">
        <v>22</v>
      </c>
      <c r="G583" t="s">
        <v>92</v>
      </c>
      <c r="H583" t="s">
        <v>24</v>
      </c>
      <c r="I583">
        <v>2</v>
      </c>
      <c r="J583">
        <v>17640</v>
      </c>
      <c r="K583">
        <v>0</v>
      </c>
      <c r="L583" t="s">
        <v>68</v>
      </c>
      <c r="M583" t="s">
        <v>50</v>
      </c>
      <c r="N583" t="s">
        <v>27</v>
      </c>
      <c r="O583">
        <v>35280</v>
      </c>
      <c r="P583">
        <v>0</v>
      </c>
      <c r="Q583">
        <v>35280</v>
      </c>
      <c r="R583">
        <v>3</v>
      </c>
    </row>
    <row r="584" spans="1:18">
      <c r="A584" t="s">
        <v>660</v>
      </c>
      <c r="B584" s="2">
        <v>46164</v>
      </c>
      <c r="C584" t="s">
        <v>19</v>
      </c>
      <c r="D584" t="s">
        <v>57</v>
      </c>
      <c r="E584" t="s">
        <v>42</v>
      </c>
      <c r="F584" t="s">
        <v>31</v>
      </c>
      <c r="G584" t="s">
        <v>43</v>
      </c>
      <c r="H584" t="s">
        <v>33</v>
      </c>
      <c r="I584">
        <v>1</v>
      </c>
      <c r="J584">
        <v>990</v>
      </c>
      <c r="K584">
        <v>0</v>
      </c>
      <c r="L584" t="s">
        <v>68</v>
      </c>
      <c r="M584" t="s">
        <v>26</v>
      </c>
      <c r="N584" t="s">
        <v>27</v>
      </c>
      <c r="O584">
        <v>990</v>
      </c>
      <c r="P584">
        <v>0</v>
      </c>
      <c r="Q584">
        <v>990</v>
      </c>
      <c r="R584">
        <v>3</v>
      </c>
    </row>
    <row r="585" spans="1:18">
      <c r="A585" t="s">
        <v>661</v>
      </c>
      <c r="B585" s="2">
        <v>46165</v>
      </c>
      <c r="C585" t="s">
        <v>82</v>
      </c>
      <c r="D585" t="s">
        <v>178</v>
      </c>
      <c r="E585" t="s">
        <v>70</v>
      </c>
      <c r="F585" t="s">
        <v>22</v>
      </c>
      <c r="G585" t="s">
        <v>149</v>
      </c>
      <c r="H585" t="s">
        <v>33</v>
      </c>
      <c r="I585">
        <v>1</v>
      </c>
      <c r="J585">
        <v>3520</v>
      </c>
      <c r="K585">
        <v>0.1</v>
      </c>
      <c r="L585" t="s">
        <v>64</v>
      </c>
      <c r="M585" t="s">
        <v>66</v>
      </c>
      <c r="N585" t="s">
        <v>27</v>
      </c>
      <c r="O585">
        <v>3520</v>
      </c>
      <c r="P585">
        <v>352</v>
      </c>
      <c r="Q585">
        <v>3168</v>
      </c>
      <c r="R585">
        <v>3</v>
      </c>
    </row>
    <row r="586" spans="1:18">
      <c r="A586" t="s">
        <v>662</v>
      </c>
      <c r="B586" s="2">
        <v>46166</v>
      </c>
      <c r="C586" t="s">
        <v>19</v>
      </c>
      <c r="D586" t="s">
        <v>103</v>
      </c>
      <c r="E586" t="s">
        <v>70</v>
      </c>
      <c r="F586" t="s">
        <v>53</v>
      </c>
      <c r="G586" t="s">
        <v>43</v>
      </c>
      <c r="H586" t="s">
        <v>33</v>
      </c>
      <c r="I586">
        <v>4</v>
      </c>
      <c r="J586">
        <v>1000</v>
      </c>
      <c r="K586">
        <v>0.08</v>
      </c>
      <c r="L586" t="s">
        <v>64</v>
      </c>
      <c r="M586" t="s">
        <v>71</v>
      </c>
      <c r="N586" t="s">
        <v>27</v>
      </c>
      <c r="O586">
        <v>4000</v>
      </c>
      <c r="P586">
        <v>320</v>
      </c>
      <c r="Q586">
        <v>3680</v>
      </c>
      <c r="R586">
        <v>7</v>
      </c>
    </row>
    <row r="587" spans="1:18">
      <c r="A587" t="s">
        <v>663</v>
      </c>
      <c r="B587" s="2">
        <v>46166</v>
      </c>
      <c r="C587" t="s">
        <v>40</v>
      </c>
      <c r="D587" t="s">
        <v>115</v>
      </c>
      <c r="E587" t="s">
        <v>70</v>
      </c>
      <c r="F587" t="s">
        <v>53</v>
      </c>
      <c r="G587" t="s">
        <v>92</v>
      </c>
      <c r="H587" t="s">
        <v>24</v>
      </c>
      <c r="I587">
        <v>5</v>
      </c>
      <c r="J587">
        <v>17540</v>
      </c>
      <c r="K587">
        <v>0.03</v>
      </c>
      <c r="L587" t="s">
        <v>68</v>
      </c>
      <c r="M587" t="s">
        <v>44</v>
      </c>
      <c r="N587" t="s">
        <v>45</v>
      </c>
      <c r="O587">
        <v>0</v>
      </c>
      <c r="P587">
        <v>0</v>
      </c>
      <c r="Q587">
        <v>0</v>
      </c>
    </row>
    <row r="588" spans="1:18">
      <c r="A588" t="s">
        <v>664</v>
      </c>
      <c r="B588" s="2">
        <v>46167</v>
      </c>
      <c r="C588" t="s">
        <v>40</v>
      </c>
      <c r="D588" t="s">
        <v>89</v>
      </c>
      <c r="E588" t="s">
        <v>21</v>
      </c>
      <c r="F588" t="s">
        <v>22</v>
      </c>
      <c r="G588" t="s">
        <v>149</v>
      </c>
      <c r="H588" t="s">
        <v>33</v>
      </c>
      <c r="I588">
        <v>2</v>
      </c>
      <c r="J588">
        <v>3650</v>
      </c>
      <c r="K588">
        <v>0.15</v>
      </c>
      <c r="L588" t="s">
        <v>64</v>
      </c>
      <c r="M588" t="s">
        <v>50</v>
      </c>
      <c r="N588" t="s">
        <v>27</v>
      </c>
      <c r="O588">
        <v>7300</v>
      </c>
      <c r="P588">
        <v>1095</v>
      </c>
      <c r="Q588">
        <v>6205</v>
      </c>
      <c r="R588">
        <v>6</v>
      </c>
    </row>
    <row r="589" spans="1:18">
      <c r="A589" t="s">
        <v>665</v>
      </c>
      <c r="B589" s="2">
        <v>46167</v>
      </c>
      <c r="C589" t="s">
        <v>82</v>
      </c>
      <c r="D589" t="s">
        <v>83</v>
      </c>
      <c r="E589" t="s">
        <v>21</v>
      </c>
      <c r="F589" t="s">
        <v>22</v>
      </c>
      <c r="G589" t="s">
        <v>48</v>
      </c>
      <c r="H589" t="s">
        <v>49</v>
      </c>
      <c r="I589">
        <v>2</v>
      </c>
      <c r="J589">
        <v>11790</v>
      </c>
      <c r="K589">
        <v>0.1</v>
      </c>
      <c r="L589" t="s">
        <v>64</v>
      </c>
      <c r="M589" t="s">
        <v>38</v>
      </c>
      <c r="N589" t="s">
        <v>27</v>
      </c>
      <c r="O589">
        <v>23580</v>
      </c>
      <c r="P589">
        <v>2358</v>
      </c>
      <c r="Q589">
        <v>21222</v>
      </c>
      <c r="R589">
        <v>6</v>
      </c>
    </row>
    <row r="590" spans="1:18">
      <c r="A590" t="s">
        <v>666</v>
      </c>
      <c r="B590" s="2">
        <v>46167</v>
      </c>
      <c r="C590" t="s">
        <v>40</v>
      </c>
      <c r="D590" t="s">
        <v>47</v>
      </c>
      <c r="E590" t="s">
        <v>21</v>
      </c>
      <c r="F590" t="s">
        <v>31</v>
      </c>
      <c r="G590" t="s">
        <v>43</v>
      </c>
      <c r="H590" t="s">
        <v>33</v>
      </c>
      <c r="I590">
        <v>1</v>
      </c>
      <c r="J590">
        <v>970</v>
      </c>
      <c r="K590">
        <v>0</v>
      </c>
      <c r="L590" t="s">
        <v>64</v>
      </c>
      <c r="M590" t="s">
        <v>66</v>
      </c>
      <c r="N590" t="s">
        <v>27</v>
      </c>
      <c r="O590">
        <v>970</v>
      </c>
      <c r="P590">
        <v>0</v>
      </c>
      <c r="Q590">
        <v>970</v>
      </c>
      <c r="R590">
        <v>5</v>
      </c>
    </row>
    <row r="591" spans="1:18">
      <c r="A591" t="s">
        <v>667</v>
      </c>
      <c r="B591" s="2">
        <v>46168</v>
      </c>
      <c r="C591" t="s">
        <v>82</v>
      </c>
      <c r="D591" t="s">
        <v>178</v>
      </c>
      <c r="E591" t="s">
        <v>21</v>
      </c>
      <c r="F591" t="s">
        <v>31</v>
      </c>
      <c r="G591" t="s">
        <v>37</v>
      </c>
      <c r="H591" t="s">
        <v>24</v>
      </c>
      <c r="I591">
        <v>3</v>
      </c>
      <c r="J591">
        <v>64180</v>
      </c>
      <c r="K591">
        <v>0.05</v>
      </c>
      <c r="L591" t="s">
        <v>25</v>
      </c>
      <c r="M591" t="s">
        <v>44</v>
      </c>
      <c r="N591" t="s">
        <v>27</v>
      </c>
      <c r="O591">
        <v>192540</v>
      </c>
      <c r="P591">
        <v>9627</v>
      </c>
      <c r="Q591">
        <v>182913</v>
      </c>
      <c r="R591">
        <v>4</v>
      </c>
    </row>
    <row r="592" spans="1:18">
      <c r="A592" t="s">
        <v>668</v>
      </c>
      <c r="B592" s="2">
        <v>46168</v>
      </c>
      <c r="C592" t="s">
        <v>82</v>
      </c>
      <c r="D592" t="s">
        <v>122</v>
      </c>
      <c r="E592" t="s">
        <v>21</v>
      </c>
      <c r="F592" t="s">
        <v>22</v>
      </c>
      <c r="G592" t="s">
        <v>73</v>
      </c>
      <c r="H592" t="s">
        <v>74</v>
      </c>
      <c r="I592">
        <v>2</v>
      </c>
      <c r="J592">
        <v>11120</v>
      </c>
      <c r="K592">
        <v>0.08</v>
      </c>
      <c r="L592" t="s">
        <v>64</v>
      </c>
      <c r="M592" t="s">
        <v>66</v>
      </c>
      <c r="N592" t="s">
        <v>27</v>
      </c>
      <c r="O592">
        <v>22240</v>
      </c>
      <c r="P592">
        <v>1779.2</v>
      </c>
      <c r="Q592">
        <v>20460.8</v>
      </c>
      <c r="R592">
        <v>3</v>
      </c>
    </row>
    <row r="593" spans="1:18">
      <c r="A593" t="s">
        <v>669</v>
      </c>
      <c r="B593" s="2">
        <v>46169</v>
      </c>
      <c r="C593" t="s">
        <v>29</v>
      </c>
      <c r="D593" t="s">
        <v>85</v>
      </c>
      <c r="E593" t="s">
        <v>21</v>
      </c>
      <c r="F593" t="s">
        <v>31</v>
      </c>
      <c r="G593" t="s">
        <v>105</v>
      </c>
      <c r="H593" t="s">
        <v>24</v>
      </c>
      <c r="I593">
        <v>3</v>
      </c>
      <c r="J593">
        <v>3040</v>
      </c>
      <c r="K593">
        <v>0.05</v>
      </c>
      <c r="L593" t="s">
        <v>34</v>
      </c>
      <c r="M593" t="s">
        <v>66</v>
      </c>
      <c r="N593" t="s">
        <v>27</v>
      </c>
      <c r="O593">
        <v>9120</v>
      </c>
      <c r="P593">
        <v>456</v>
      </c>
      <c r="Q593">
        <v>8664</v>
      </c>
      <c r="R593">
        <v>2</v>
      </c>
    </row>
    <row r="594" spans="1:18">
      <c r="A594" t="s">
        <v>670</v>
      </c>
      <c r="B594" s="2">
        <v>46169</v>
      </c>
      <c r="C594" t="s">
        <v>19</v>
      </c>
      <c r="D594" t="s">
        <v>57</v>
      </c>
      <c r="E594" t="s">
        <v>42</v>
      </c>
      <c r="F594" t="s">
        <v>31</v>
      </c>
      <c r="G594" t="s">
        <v>105</v>
      </c>
      <c r="H594" t="s">
        <v>24</v>
      </c>
      <c r="I594">
        <v>2</v>
      </c>
      <c r="J594">
        <v>3150</v>
      </c>
      <c r="K594">
        <v>0.05</v>
      </c>
      <c r="L594" t="s">
        <v>64</v>
      </c>
      <c r="M594" t="s">
        <v>35</v>
      </c>
      <c r="N594" t="s">
        <v>27</v>
      </c>
      <c r="O594">
        <v>6300</v>
      </c>
      <c r="P594">
        <v>315</v>
      </c>
      <c r="Q594">
        <v>5985</v>
      </c>
      <c r="R594">
        <v>2</v>
      </c>
    </row>
    <row r="595" spans="1:18">
      <c r="A595" t="s">
        <v>671</v>
      </c>
      <c r="B595" s="2">
        <v>46169</v>
      </c>
      <c r="C595" t="s">
        <v>40</v>
      </c>
      <c r="D595" t="s">
        <v>47</v>
      </c>
      <c r="E595" t="s">
        <v>42</v>
      </c>
      <c r="F595" t="s">
        <v>22</v>
      </c>
      <c r="G595" t="s">
        <v>62</v>
      </c>
      <c r="H595" t="s">
        <v>33</v>
      </c>
      <c r="I595">
        <v>2</v>
      </c>
      <c r="J595">
        <v>1890</v>
      </c>
      <c r="K595">
        <v>0.05</v>
      </c>
      <c r="L595" t="s">
        <v>34</v>
      </c>
      <c r="M595" t="s">
        <v>35</v>
      </c>
      <c r="N595" t="s">
        <v>130</v>
      </c>
      <c r="O595">
        <v>3780</v>
      </c>
      <c r="P595">
        <v>189</v>
      </c>
      <c r="Q595">
        <v>3591</v>
      </c>
      <c r="R595">
        <v>2</v>
      </c>
    </row>
    <row r="596" spans="1:18">
      <c r="A596" t="s">
        <v>672</v>
      </c>
      <c r="B596" s="2">
        <v>46169</v>
      </c>
      <c r="C596" t="s">
        <v>82</v>
      </c>
      <c r="D596" t="s">
        <v>83</v>
      </c>
      <c r="E596" t="s">
        <v>21</v>
      </c>
      <c r="F596" t="s">
        <v>31</v>
      </c>
      <c r="G596" t="s">
        <v>62</v>
      </c>
      <c r="H596" t="s">
        <v>33</v>
      </c>
      <c r="I596">
        <v>3</v>
      </c>
      <c r="J596">
        <v>1880</v>
      </c>
      <c r="K596">
        <v>0.03</v>
      </c>
      <c r="L596" t="s">
        <v>64</v>
      </c>
      <c r="M596" t="s">
        <v>50</v>
      </c>
      <c r="N596" t="s">
        <v>27</v>
      </c>
      <c r="O596">
        <v>5640</v>
      </c>
      <c r="P596">
        <v>169.2</v>
      </c>
      <c r="Q596">
        <v>5470.8</v>
      </c>
      <c r="R596">
        <v>5</v>
      </c>
    </row>
    <row r="597" spans="1:18">
      <c r="A597" t="s">
        <v>673</v>
      </c>
      <c r="B597" s="2">
        <v>46170</v>
      </c>
      <c r="C597" t="s">
        <v>29</v>
      </c>
      <c r="D597" t="s">
        <v>30</v>
      </c>
      <c r="E597" t="s">
        <v>21</v>
      </c>
      <c r="F597" t="s">
        <v>22</v>
      </c>
      <c r="G597" t="s">
        <v>58</v>
      </c>
      <c r="H597" t="s">
        <v>59</v>
      </c>
      <c r="I597">
        <v>2</v>
      </c>
      <c r="J597">
        <v>6940</v>
      </c>
      <c r="K597">
        <v>0.05</v>
      </c>
      <c r="L597" t="s">
        <v>64</v>
      </c>
      <c r="M597" t="s">
        <v>35</v>
      </c>
      <c r="N597" t="s">
        <v>27</v>
      </c>
      <c r="O597">
        <v>13880</v>
      </c>
      <c r="P597">
        <v>694</v>
      </c>
      <c r="Q597">
        <v>13186</v>
      </c>
      <c r="R597">
        <v>4</v>
      </c>
    </row>
    <row r="598" spans="1:18">
      <c r="A598" t="s">
        <v>674</v>
      </c>
      <c r="B598" s="2">
        <v>46170</v>
      </c>
      <c r="C598" t="s">
        <v>40</v>
      </c>
      <c r="D598" t="s">
        <v>47</v>
      </c>
      <c r="E598" t="s">
        <v>42</v>
      </c>
      <c r="F598" t="s">
        <v>53</v>
      </c>
      <c r="G598" t="s">
        <v>92</v>
      </c>
      <c r="H598" t="s">
        <v>24</v>
      </c>
      <c r="I598">
        <v>5</v>
      </c>
      <c r="J598">
        <v>17000</v>
      </c>
      <c r="K598">
        <v>0.08</v>
      </c>
      <c r="L598" t="s">
        <v>64</v>
      </c>
      <c r="M598" t="s">
        <v>26</v>
      </c>
      <c r="N598" t="s">
        <v>27</v>
      </c>
      <c r="O598">
        <v>85000</v>
      </c>
      <c r="P598">
        <v>6800</v>
      </c>
      <c r="Q598">
        <v>78200</v>
      </c>
      <c r="R598">
        <v>3</v>
      </c>
    </row>
    <row r="599" spans="1:18">
      <c r="A599" t="s">
        <v>675</v>
      </c>
      <c r="B599" s="2">
        <v>46172</v>
      </c>
      <c r="C599" t="s">
        <v>40</v>
      </c>
      <c r="D599" t="s">
        <v>89</v>
      </c>
      <c r="E599" t="s">
        <v>21</v>
      </c>
      <c r="F599" t="s">
        <v>22</v>
      </c>
      <c r="G599" t="s">
        <v>73</v>
      </c>
      <c r="H599" t="s">
        <v>74</v>
      </c>
      <c r="I599">
        <v>4</v>
      </c>
      <c r="J599">
        <v>11290</v>
      </c>
      <c r="K599">
        <v>0.05</v>
      </c>
      <c r="L599" t="s">
        <v>64</v>
      </c>
      <c r="M599" t="s">
        <v>26</v>
      </c>
      <c r="N599" t="s">
        <v>27</v>
      </c>
      <c r="O599">
        <v>45160</v>
      </c>
      <c r="P599">
        <v>2258</v>
      </c>
      <c r="Q599">
        <v>42902</v>
      </c>
      <c r="R599">
        <v>5</v>
      </c>
    </row>
    <row r="600" spans="1:18">
      <c r="A600" t="s">
        <v>676</v>
      </c>
      <c r="B600" s="2">
        <v>46172</v>
      </c>
      <c r="C600" t="s">
        <v>82</v>
      </c>
      <c r="D600" t="s">
        <v>122</v>
      </c>
      <c r="E600" t="s">
        <v>42</v>
      </c>
      <c r="F600" t="s">
        <v>53</v>
      </c>
      <c r="G600" t="s">
        <v>152</v>
      </c>
      <c r="H600" t="s">
        <v>74</v>
      </c>
      <c r="I600">
        <v>1</v>
      </c>
      <c r="J600">
        <v>14900</v>
      </c>
      <c r="K600">
        <v>0.03</v>
      </c>
      <c r="L600" t="s">
        <v>64</v>
      </c>
      <c r="M600" t="s">
        <v>66</v>
      </c>
      <c r="N600" t="s">
        <v>27</v>
      </c>
      <c r="O600">
        <v>14900</v>
      </c>
      <c r="P600">
        <v>447</v>
      </c>
      <c r="Q600">
        <v>14453</v>
      </c>
      <c r="R600">
        <v>4</v>
      </c>
    </row>
    <row r="601" spans="1:18">
      <c r="A601" t="s">
        <v>677</v>
      </c>
      <c r="B601" s="2">
        <v>46172</v>
      </c>
      <c r="C601" t="s">
        <v>29</v>
      </c>
      <c r="D601" t="s">
        <v>78</v>
      </c>
      <c r="E601" t="s">
        <v>42</v>
      </c>
      <c r="F601" t="s">
        <v>22</v>
      </c>
      <c r="G601" t="s">
        <v>73</v>
      </c>
      <c r="H601" t="s">
        <v>74</v>
      </c>
      <c r="I601">
        <v>2</v>
      </c>
      <c r="J601">
        <v>12160</v>
      </c>
      <c r="K601">
        <v>0.03</v>
      </c>
      <c r="L601" t="s">
        <v>54</v>
      </c>
      <c r="M601" t="s">
        <v>35</v>
      </c>
      <c r="N601" t="s">
        <v>27</v>
      </c>
      <c r="O601">
        <v>24320</v>
      </c>
      <c r="P601">
        <v>729.6</v>
      </c>
      <c r="Q601">
        <v>23590.400000000001</v>
      </c>
      <c r="R601">
        <v>2</v>
      </c>
    </row>
    <row r="602" spans="1:18">
      <c r="A602" t="s">
        <v>678</v>
      </c>
      <c r="B602" s="2">
        <v>46174</v>
      </c>
      <c r="C602" t="s">
        <v>19</v>
      </c>
      <c r="D602" t="s">
        <v>103</v>
      </c>
      <c r="E602" t="s">
        <v>21</v>
      </c>
      <c r="F602" t="s">
        <v>22</v>
      </c>
      <c r="G602" t="s">
        <v>58</v>
      </c>
      <c r="H602" t="s">
        <v>59</v>
      </c>
      <c r="I602">
        <v>1</v>
      </c>
      <c r="J602">
        <v>7520</v>
      </c>
      <c r="K602">
        <v>0.05</v>
      </c>
      <c r="L602" t="s">
        <v>64</v>
      </c>
      <c r="M602" t="s">
        <v>35</v>
      </c>
      <c r="N602" t="s">
        <v>27</v>
      </c>
      <c r="O602">
        <v>7520</v>
      </c>
      <c r="P602">
        <v>376</v>
      </c>
      <c r="Q602">
        <v>7144</v>
      </c>
      <c r="R602">
        <v>1</v>
      </c>
    </row>
    <row r="603" spans="1:18">
      <c r="A603" t="s">
        <v>679</v>
      </c>
      <c r="B603" s="2">
        <v>46174</v>
      </c>
      <c r="C603" t="s">
        <v>19</v>
      </c>
      <c r="D603" t="s">
        <v>103</v>
      </c>
      <c r="E603" t="s">
        <v>21</v>
      </c>
      <c r="F603" t="s">
        <v>22</v>
      </c>
      <c r="G603" t="s">
        <v>105</v>
      </c>
      <c r="H603" t="s">
        <v>24</v>
      </c>
      <c r="I603">
        <v>2</v>
      </c>
      <c r="J603">
        <v>3110</v>
      </c>
      <c r="K603">
        <v>0.1</v>
      </c>
      <c r="L603" t="s">
        <v>64</v>
      </c>
      <c r="M603" t="s">
        <v>44</v>
      </c>
      <c r="N603" t="s">
        <v>27</v>
      </c>
      <c r="O603">
        <v>6220</v>
      </c>
      <c r="P603">
        <v>622</v>
      </c>
      <c r="Q603">
        <v>5598</v>
      </c>
      <c r="R603">
        <v>6</v>
      </c>
    </row>
    <row r="604" spans="1:18">
      <c r="A604" t="s">
        <v>680</v>
      </c>
      <c r="B604" s="2">
        <v>46174</v>
      </c>
      <c r="C604" t="s">
        <v>29</v>
      </c>
      <c r="D604" t="s">
        <v>78</v>
      </c>
      <c r="E604" t="s">
        <v>42</v>
      </c>
      <c r="F604" t="s">
        <v>31</v>
      </c>
      <c r="G604" t="s">
        <v>152</v>
      </c>
      <c r="H604" t="s">
        <v>74</v>
      </c>
      <c r="I604">
        <v>1</v>
      </c>
      <c r="J604">
        <v>15400</v>
      </c>
      <c r="K604">
        <v>0.03</v>
      </c>
      <c r="L604" t="s">
        <v>64</v>
      </c>
      <c r="M604" t="s">
        <v>44</v>
      </c>
      <c r="N604" t="s">
        <v>27</v>
      </c>
      <c r="O604">
        <v>15400</v>
      </c>
      <c r="P604">
        <v>462</v>
      </c>
      <c r="Q604">
        <v>14938</v>
      </c>
      <c r="R604">
        <v>5</v>
      </c>
    </row>
    <row r="605" spans="1:18">
      <c r="A605" t="s">
        <v>681</v>
      </c>
      <c r="B605" s="2">
        <v>46174</v>
      </c>
      <c r="C605" t="s">
        <v>29</v>
      </c>
      <c r="D605" t="s">
        <v>78</v>
      </c>
      <c r="E605" t="s">
        <v>42</v>
      </c>
      <c r="F605" t="s">
        <v>22</v>
      </c>
      <c r="G605" t="s">
        <v>62</v>
      </c>
      <c r="H605" t="s">
        <v>33</v>
      </c>
      <c r="I605">
        <v>5</v>
      </c>
      <c r="J605">
        <v>1890</v>
      </c>
      <c r="K605">
        <v>0.05</v>
      </c>
      <c r="L605" t="s">
        <v>68</v>
      </c>
      <c r="M605" t="s">
        <v>35</v>
      </c>
      <c r="N605" t="s">
        <v>27</v>
      </c>
      <c r="O605">
        <v>9450</v>
      </c>
      <c r="P605">
        <v>472.5</v>
      </c>
      <c r="Q605">
        <v>8977.5</v>
      </c>
      <c r="R605">
        <v>3</v>
      </c>
    </row>
    <row r="606" spans="1:18">
      <c r="A606" t="s">
        <v>682</v>
      </c>
      <c r="B606" s="2">
        <v>46177</v>
      </c>
      <c r="C606" t="s">
        <v>40</v>
      </c>
      <c r="D606" t="s">
        <v>115</v>
      </c>
      <c r="E606" t="s">
        <v>21</v>
      </c>
      <c r="F606" t="s">
        <v>31</v>
      </c>
      <c r="G606" t="s">
        <v>73</v>
      </c>
      <c r="H606" t="s">
        <v>74</v>
      </c>
      <c r="I606">
        <v>2</v>
      </c>
      <c r="J606">
        <v>11660</v>
      </c>
      <c r="K606">
        <v>0.08</v>
      </c>
      <c r="L606" t="s">
        <v>64</v>
      </c>
      <c r="M606" t="s">
        <v>35</v>
      </c>
      <c r="N606" t="s">
        <v>27</v>
      </c>
      <c r="O606">
        <v>23320</v>
      </c>
      <c r="P606">
        <v>1865.6</v>
      </c>
      <c r="Q606">
        <v>21454.400000000001</v>
      </c>
      <c r="R606">
        <v>1</v>
      </c>
    </row>
    <row r="607" spans="1:18">
      <c r="A607" t="s">
        <v>683</v>
      </c>
      <c r="B607" s="2">
        <v>46177</v>
      </c>
      <c r="C607" t="s">
        <v>82</v>
      </c>
      <c r="D607" t="s">
        <v>122</v>
      </c>
      <c r="E607" t="s">
        <v>70</v>
      </c>
      <c r="F607" t="s">
        <v>22</v>
      </c>
      <c r="G607" t="s">
        <v>62</v>
      </c>
      <c r="H607" t="s">
        <v>33</v>
      </c>
      <c r="I607">
        <v>4</v>
      </c>
      <c r="J607">
        <v>1750</v>
      </c>
      <c r="K607">
        <v>0.03</v>
      </c>
      <c r="L607" t="s">
        <v>54</v>
      </c>
      <c r="M607" t="s">
        <v>44</v>
      </c>
      <c r="N607" t="s">
        <v>27</v>
      </c>
      <c r="O607">
        <v>7000</v>
      </c>
      <c r="P607">
        <v>210</v>
      </c>
      <c r="Q607">
        <v>6790</v>
      </c>
      <c r="R607">
        <v>2</v>
      </c>
    </row>
    <row r="608" spans="1:18">
      <c r="A608" t="s">
        <v>684</v>
      </c>
      <c r="B608" s="2">
        <v>46177</v>
      </c>
      <c r="C608" t="s">
        <v>40</v>
      </c>
      <c r="D608" t="s">
        <v>115</v>
      </c>
      <c r="E608" t="s">
        <v>70</v>
      </c>
      <c r="F608" t="s">
        <v>22</v>
      </c>
      <c r="G608" t="s">
        <v>62</v>
      </c>
      <c r="H608" t="s">
        <v>33</v>
      </c>
      <c r="I608">
        <v>4</v>
      </c>
      <c r="J608">
        <v>1850</v>
      </c>
      <c r="K608">
        <v>0.05</v>
      </c>
      <c r="L608" t="s">
        <v>68</v>
      </c>
      <c r="M608" t="s">
        <v>50</v>
      </c>
      <c r="N608" t="s">
        <v>130</v>
      </c>
      <c r="O608">
        <v>7400</v>
      </c>
      <c r="P608">
        <v>370</v>
      </c>
      <c r="Q608">
        <v>7030</v>
      </c>
      <c r="R608">
        <v>3</v>
      </c>
    </row>
    <row r="609" spans="1:18">
      <c r="A609" t="s">
        <v>685</v>
      </c>
      <c r="B609" s="2">
        <v>46177</v>
      </c>
      <c r="C609" t="s">
        <v>29</v>
      </c>
      <c r="D609" t="s">
        <v>78</v>
      </c>
      <c r="E609" t="s">
        <v>42</v>
      </c>
      <c r="F609" t="s">
        <v>22</v>
      </c>
      <c r="G609" t="s">
        <v>92</v>
      </c>
      <c r="H609" t="s">
        <v>24</v>
      </c>
      <c r="I609">
        <v>1</v>
      </c>
      <c r="J609">
        <v>15360</v>
      </c>
      <c r="K609">
        <v>0.15</v>
      </c>
      <c r="L609" t="s">
        <v>34</v>
      </c>
      <c r="M609" t="s">
        <v>55</v>
      </c>
      <c r="N609" t="s">
        <v>27</v>
      </c>
      <c r="O609">
        <v>15360</v>
      </c>
      <c r="P609">
        <v>2304</v>
      </c>
      <c r="Q609">
        <v>13056</v>
      </c>
      <c r="R609">
        <v>5</v>
      </c>
    </row>
    <row r="610" spans="1:18">
      <c r="A610" t="s">
        <v>686</v>
      </c>
      <c r="B610" s="2">
        <v>46178</v>
      </c>
      <c r="C610" t="s">
        <v>29</v>
      </c>
      <c r="D610" t="s">
        <v>78</v>
      </c>
      <c r="E610" t="s">
        <v>21</v>
      </c>
      <c r="F610" t="s">
        <v>22</v>
      </c>
      <c r="G610" t="s">
        <v>58</v>
      </c>
      <c r="H610" t="s">
        <v>59</v>
      </c>
      <c r="I610">
        <v>1</v>
      </c>
      <c r="J610">
        <v>6970</v>
      </c>
      <c r="K610">
        <v>0.03</v>
      </c>
      <c r="L610" t="s">
        <v>64</v>
      </c>
      <c r="M610" t="s">
        <v>35</v>
      </c>
      <c r="N610" t="s">
        <v>27</v>
      </c>
      <c r="O610">
        <v>6970</v>
      </c>
      <c r="P610">
        <v>209.1</v>
      </c>
      <c r="Q610">
        <v>6760.9</v>
      </c>
      <c r="R610">
        <v>4</v>
      </c>
    </row>
    <row r="611" spans="1:18">
      <c r="A611" t="s">
        <v>687</v>
      </c>
      <c r="B611" s="2">
        <v>46178</v>
      </c>
      <c r="C611" t="s">
        <v>40</v>
      </c>
      <c r="D611" t="s">
        <v>115</v>
      </c>
      <c r="E611" t="s">
        <v>42</v>
      </c>
      <c r="F611" t="s">
        <v>31</v>
      </c>
      <c r="G611" t="s">
        <v>62</v>
      </c>
      <c r="H611" t="s">
        <v>33</v>
      </c>
      <c r="I611">
        <v>2</v>
      </c>
      <c r="J611">
        <v>1890</v>
      </c>
      <c r="K611">
        <v>0.08</v>
      </c>
      <c r="L611" t="s">
        <v>54</v>
      </c>
      <c r="M611" t="s">
        <v>44</v>
      </c>
      <c r="N611" t="s">
        <v>27</v>
      </c>
      <c r="O611">
        <v>3780</v>
      </c>
      <c r="P611">
        <v>302.39999999999998</v>
      </c>
      <c r="Q611">
        <v>3477.6</v>
      </c>
      <c r="R611">
        <v>6</v>
      </c>
    </row>
    <row r="612" spans="1:18">
      <c r="A612" t="s">
        <v>688</v>
      </c>
      <c r="B612" s="2">
        <v>46179</v>
      </c>
      <c r="C612" t="s">
        <v>19</v>
      </c>
      <c r="D612" t="s">
        <v>20</v>
      </c>
      <c r="E612" t="s">
        <v>42</v>
      </c>
      <c r="F612" t="s">
        <v>22</v>
      </c>
      <c r="G612" t="s">
        <v>58</v>
      </c>
      <c r="H612" t="s">
        <v>59</v>
      </c>
      <c r="I612">
        <v>2</v>
      </c>
      <c r="J612">
        <v>7120</v>
      </c>
      <c r="K612">
        <v>0.03</v>
      </c>
      <c r="L612" t="s">
        <v>54</v>
      </c>
      <c r="M612" t="s">
        <v>26</v>
      </c>
      <c r="N612" t="s">
        <v>27</v>
      </c>
      <c r="O612">
        <v>14240</v>
      </c>
      <c r="P612">
        <v>427.2</v>
      </c>
      <c r="Q612">
        <v>13812.8</v>
      </c>
      <c r="R612">
        <v>3</v>
      </c>
    </row>
    <row r="613" spans="1:18">
      <c r="A613" t="s">
        <v>689</v>
      </c>
      <c r="B613" s="2">
        <v>46179</v>
      </c>
      <c r="C613" t="s">
        <v>29</v>
      </c>
      <c r="D613" t="s">
        <v>85</v>
      </c>
      <c r="E613" t="s">
        <v>70</v>
      </c>
      <c r="F613" t="s">
        <v>22</v>
      </c>
      <c r="G613" t="s">
        <v>95</v>
      </c>
      <c r="H613" t="s">
        <v>24</v>
      </c>
      <c r="I613">
        <v>1</v>
      </c>
      <c r="J613">
        <v>22700</v>
      </c>
      <c r="K613">
        <v>0</v>
      </c>
      <c r="L613" t="s">
        <v>54</v>
      </c>
      <c r="M613" t="s">
        <v>26</v>
      </c>
      <c r="N613" t="s">
        <v>27</v>
      </c>
      <c r="O613">
        <v>22700</v>
      </c>
      <c r="P613">
        <v>0</v>
      </c>
      <c r="Q613">
        <v>22700</v>
      </c>
      <c r="R613">
        <v>3</v>
      </c>
    </row>
    <row r="614" spans="1:18">
      <c r="A614" t="s">
        <v>690</v>
      </c>
      <c r="B614" s="2">
        <v>46179</v>
      </c>
      <c r="C614" t="s">
        <v>29</v>
      </c>
      <c r="D614" t="s">
        <v>61</v>
      </c>
      <c r="E614" t="s">
        <v>42</v>
      </c>
      <c r="F614" t="s">
        <v>22</v>
      </c>
      <c r="G614" t="s">
        <v>95</v>
      </c>
      <c r="H614" t="s">
        <v>24</v>
      </c>
      <c r="I614">
        <v>2</v>
      </c>
      <c r="J614">
        <v>22620</v>
      </c>
      <c r="K614">
        <v>0.05</v>
      </c>
      <c r="L614" t="s">
        <v>64</v>
      </c>
      <c r="M614" t="s">
        <v>66</v>
      </c>
      <c r="N614" t="s">
        <v>27</v>
      </c>
      <c r="O614">
        <v>45240</v>
      </c>
      <c r="P614">
        <v>2262</v>
      </c>
      <c r="Q614">
        <v>42978</v>
      </c>
      <c r="R614">
        <v>3</v>
      </c>
    </row>
    <row r="615" spans="1:18">
      <c r="A615" t="s">
        <v>691</v>
      </c>
      <c r="B615" s="2">
        <v>46179</v>
      </c>
      <c r="C615" t="s">
        <v>40</v>
      </c>
      <c r="D615" t="s">
        <v>47</v>
      </c>
      <c r="E615" t="s">
        <v>21</v>
      </c>
      <c r="F615" t="s">
        <v>22</v>
      </c>
      <c r="G615" t="s">
        <v>37</v>
      </c>
      <c r="H615" t="s">
        <v>24</v>
      </c>
      <c r="I615">
        <v>1</v>
      </c>
      <c r="J615">
        <v>60250</v>
      </c>
      <c r="K615">
        <v>0.08</v>
      </c>
      <c r="L615" t="s">
        <v>68</v>
      </c>
      <c r="M615" t="s">
        <v>44</v>
      </c>
      <c r="N615" t="s">
        <v>27</v>
      </c>
      <c r="O615">
        <v>60250</v>
      </c>
      <c r="P615">
        <v>4820</v>
      </c>
      <c r="Q615">
        <v>55430</v>
      </c>
      <c r="R615">
        <v>3</v>
      </c>
    </row>
    <row r="616" spans="1:18">
      <c r="A616" t="s">
        <v>692</v>
      </c>
      <c r="B616" s="2">
        <v>46180</v>
      </c>
      <c r="C616" t="s">
        <v>40</v>
      </c>
      <c r="D616" t="s">
        <v>47</v>
      </c>
      <c r="E616" t="s">
        <v>70</v>
      </c>
      <c r="F616" t="s">
        <v>22</v>
      </c>
      <c r="G616" t="s">
        <v>62</v>
      </c>
      <c r="H616" t="s">
        <v>33</v>
      </c>
      <c r="I616">
        <v>1</v>
      </c>
      <c r="J616">
        <v>1780</v>
      </c>
      <c r="K616">
        <v>0.03</v>
      </c>
      <c r="L616" t="s">
        <v>25</v>
      </c>
      <c r="M616" t="s">
        <v>50</v>
      </c>
      <c r="N616" t="s">
        <v>27</v>
      </c>
      <c r="O616">
        <v>1780</v>
      </c>
      <c r="P616">
        <v>53.4</v>
      </c>
      <c r="Q616">
        <v>1726.6</v>
      </c>
      <c r="R616">
        <v>5</v>
      </c>
    </row>
    <row r="617" spans="1:18">
      <c r="A617" t="s">
        <v>693</v>
      </c>
      <c r="B617" s="2">
        <v>46181</v>
      </c>
      <c r="C617" t="s">
        <v>40</v>
      </c>
      <c r="D617" t="s">
        <v>89</v>
      </c>
      <c r="E617" t="s">
        <v>21</v>
      </c>
      <c r="F617" t="s">
        <v>31</v>
      </c>
      <c r="G617" t="s">
        <v>73</v>
      </c>
      <c r="H617" t="s">
        <v>74</v>
      </c>
      <c r="I617">
        <v>2</v>
      </c>
      <c r="J617">
        <v>11950</v>
      </c>
      <c r="K617">
        <v>0</v>
      </c>
      <c r="L617" t="s">
        <v>64</v>
      </c>
      <c r="M617" t="s">
        <v>26</v>
      </c>
      <c r="N617" t="s">
        <v>27</v>
      </c>
      <c r="O617">
        <v>23900</v>
      </c>
      <c r="P617">
        <v>0</v>
      </c>
      <c r="Q617">
        <v>23900</v>
      </c>
      <c r="R617">
        <v>6</v>
      </c>
    </row>
    <row r="618" spans="1:18">
      <c r="A618" t="s">
        <v>694</v>
      </c>
      <c r="B618" s="2">
        <v>46181</v>
      </c>
      <c r="C618" t="s">
        <v>19</v>
      </c>
      <c r="D618" t="s">
        <v>52</v>
      </c>
      <c r="E618" t="s">
        <v>42</v>
      </c>
      <c r="F618" t="s">
        <v>22</v>
      </c>
      <c r="G618" t="s">
        <v>92</v>
      </c>
      <c r="H618" t="s">
        <v>24</v>
      </c>
      <c r="I618">
        <v>1</v>
      </c>
      <c r="J618">
        <v>15990</v>
      </c>
      <c r="K618">
        <v>0.08</v>
      </c>
      <c r="L618" t="s">
        <v>64</v>
      </c>
      <c r="M618" t="s">
        <v>44</v>
      </c>
      <c r="N618" t="s">
        <v>27</v>
      </c>
      <c r="O618">
        <v>15990</v>
      </c>
      <c r="P618">
        <v>1279.2</v>
      </c>
      <c r="Q618">
        <v>14710.8</v>
      </c>
      <c r="R618">
        <v>5</v>
      </c>
    </row>
    <row r="619" spans="1:18">
      <c r="A619" t="s">
        <v>695</v>
      </c>
      <c r="B619" s="2">
        <v>46182</v>
      </c>
      <c r="C619" t="s">
        <v>82</v>
      </c>
      <c r="D619" t="s">
        <v>178</v>
      </c>
      <c r="E619" t="s">
        <v>42</v>
      </c>
      <c r="F619" t="s">
        <v>22</v>
      </c>
      <c r="G619" t="s">
        <v>23</v>
      </c>
      <c r="H619" t="s">
        <v>24</v>
      </c>
      <c r="I619">
        <v>1</v>
      </c>
      <c r="J619">
        <v>27190</v>
      </c>
      <c r="K619">
        <v>0</v>
      </c>
      <c r="L619" t="s">
        <v>34</v>
      </c>
      <c r="M619" t="s">
        <v>71</v>
      </c>
      <c r="N619" t="s">
        <v>27</v>
      </c>
      <c r="O619">
        <v>27190</v>
      </c>
      <c r="P619">
        <v>0</v>
      </c>
      <c r="Q619">
        <v>27190</v>
      </c>
      <c r="R619">
        <v>6</v>
      </c>
    </row>
    <row r="620" spans="1:18">
      <c r="A620" t="s">
        <v>696</v>
      </c>
      <c r="B620" s="2">
        <v>46182</v>
      </c>
      <c r="C620" t="s">
        <v>19</v>
      </c>
      <c r="D620" t="s">
        <v>57</v>
      </c>
      <c r="E620" t="s">
        <v>70</v>
      </c>
      <c r="F620" t="s">
        <v>53</v>
      </c>
      <c r="G620" t="s">
        <v>149</v>
      </c>
      <c r="H620" t="s">
        <v>33</v>
      </c>
      <c r="I620">
        <v>1</v>
      </c>
      <c r="J620">
        <v>3410</v>
      </c>
      <c r="K620">
        <v>0</v>
      </c>
      <c r="L620" t="s">
        <v>25</v>
      </c>
      <c r="M620" t="s">
        <v>55</v>
      </c>
      <c r="N620" t="s">
        <v>27</v>
      </c>
      <c r="O620">
        <v>3410</v>
      </c>
      <c r="P620">
        <v>0</v>
      </c>
      <c r="Q620">
        <v>3410</v>
      </c>
      <c r="R620">
        <v>5</v>
      </c>
    </row>
    <row r="621" spans="1:18">
      <c r="A621" t="s">
        <v>697</v>
      </c>
      <c r="B621" s="2">
        <v>46182</v>
      </c>
      <c r="C621" t="s">
        <v>29</v>
      </c>
      <c r="D621" t="s">
        <v>78</v>
      </c>
      <c r="E621" t="s">
        <v>21</v>
      </c>
      <c r="F621" t="s">
        <v>22</v>
      </c>
      <c r="G621" t="s">
        <v>95</v>
      </c>
      <c r="H621" t="s">
        <v>24</v>
      </c>
      <c r="I621">
        <v>5</v>
      </c>
      <c r="J621">
        <v>21050</v>
      </c>
      <c r="K621">
        <v>0</v>
      </c>
      <c r="L621" t="s">
        <v>54</v>
      </c>
      <c r="M621" t="s">
        <v>26</v>
      </c>
      <c r="N621" t="s">
        <v>27</v>
      </c>
      <c r="O621">
        <v>105250</v>
      </c>
      <c r="P621">
        <v>0</v>
      </c>
      <c r="Q621">
        <v>105250</v>
      </c>
      <c r="R621">
        <v>4</v>
      </c>
    </row>
    <row r="622" spans="1:18">
      <c r="A622" t="s">
        <v>698</v>
      </c>
      <c r="B622" s="2">
        <v>46183</v>
      </c>
      <c r="C622" t="s">
        <v>82</v>
      </c>
      <c r="D622" t="s">
        <v>122</v>
      </c>
      <c r="E622" t="s">
        <v>70</v>
      </c>
      <c r="F622" t="s">
        <v>22</v>
      </c>
      <c r="G622" t="s">
        <v>149</v>
      </c>
      <c r="H622" t="s">
        <v>33</v>
      </c>
      <c r="I622">
        <v>1</v>
      </c>
      <c r="J622">
        <v>3820</v>
      </c>
      <c r="K622">
        <v>0.03</v>
      </c>
      <c r="L622" t="s">
        <v>25</v>
      </c>
      <c r="M622" t="s">
        <v>35</v>
      </c>
      <c r="N622" t="s">
        <v>27</v>
      </c>
      <c r="O622">
        <v>3820</v>
      </c>
      <c r="P622">
        <v>114.6</v>
      </c>
      <c r="Q622">
        <v>3705.4</v>
      </c>
      <c r="R622">
        <v>5</v>
      </c>
    </row>
    <row r="623" spans="1:18">
      <c r="A623" t="s">
        <v>699</v>
      </c>
      <c r="B623" s="2">
        <v>46183</v>
      </c>
      <c r="C623" t="s">
        <v>29</v>
      </c>
      <c r="D623" t="s">
        <v>30</v>
      </c>
      <c r="E623" t="s">
        <v>21</v>
      </c>
      <c r="F623" t="s">
        <v>22</v>
      </c>
      <c r="G623" t="s">
        <v>32</v>
      </c>
      <c r="H623" t="s">
        <v>33</v>
      </c>
      <c r="I623">
        <v>4</v>
      </c>
      <c r="J623">
        <v>2440</v>
      </c>
      <c r="K623">
        <v>0.15</v>
      </c>
      <c r="L623" t="s">
        <v>25</v>
      </c>
      <c r="M623" t="s">
        <v>71</v>
      </c>
      <c r="N623" t="s">
        <v>27</v>
      </c>
      <c r="O623">
        <v>9760</v>
      </c>
      <c r="P623">
        <v>1464</v>
      </c>
      <c r="Q623">
        <v>8296</v>
      </c>
      <c r="R623">
        <v>3</v>
      </c>
    </row>
    <row r="624" spans="1:18">
      <c r="A624" t="s">
        <v>700</v>
      </c>
      <c r="B624" s="2">
        <v>46184</v>
      </c>
      <c r="C624" t="s">
        <v>29</v>
      </c>
      <c r="D624" t="s">
        <v>85</v>
      </c>
      <c r="E624" t="s">
        <v>70</v>
      </c>
      <c r="F624" t="s">
        <v>22</v>
      </c>
      <c r="G624" t="s">
        <v>43</v>
      </c>
      <c r="H624" t="s">
        <v>33</v>
      </c>
      <c r="I624">
        <v>2</v>
      </c>
      <c r="J624">
        <v>990</v>
      </c>
      <c r="K624">
        <v>0.1</v>
      </c>
      <c r="L624" t="s">
        <v>68</v>
      </c>
      <c r="M624" t="s">
        <v>44</v>
      </c>
      <c r="N624" t="s">
        <v>27</v>
      </c>
      <c r="O624">
        <v>1980</v>
      </c>
      <c r="P624">
        <v>198</v>
      </c>
      <c r="Q624">
        <v>1782</v>
      </c>
      <c r="R624">
        <v>4</v>
      </c>
    </row>
    <row r="625" spans="1:18">
      <c r="A625" t="s">
        <v>701</v>
      </c>
      <c r="B625" s="2">
        <v>46184</v>
      </c>
      <c r="C625" t="s">
        <v>40</v>
      </c>
      <c r="D625" t="s">
        <v>89</v>
      </c>
      <c r="E625" t="s">
        <v>21</v>
      </c>
      <c r="F625" t="s">
        <v>31</v>
      </c>
      <c r="G625" t="s">
        <v>58</v>
      </c>
      <c r="H625" t="s">
        <v>59</v>
      </c>
      <c r="I625">
        <v>5</v>
      </c>
      <c r="J625">
        <v>6730</v>
      </c>
      <c r="K625">
        <v>0.05</v>
      </c>
      <c r="L625" t="s">
        <v>54</v>
      </c>
      <c r="M625" t="s">
        <v>35</v>
      </c>
      <c r="N625" t="s">
        <v>27</v>
      </c>
      <c r="O625">
        <v>33650</v>
      </c>
      <c r="P625">
        <v>1682.5</v>
      </c>
      <c r="Q625">
        <v>31967.5</v>
      </c>
      <c r="R625">
        <v>3</v>
      </c>
    </row>
    <row r="626" spans="1:18">
      <c r="A626" t="s">
        <v>702</v>
      </c>
      <c r="B626" s="2">
        <v>46184</v>
      </c>
      <c r="C626" t="s">
        <v>19</v>
      </c>
      <c r="D626" t="s">
        <v>103</v>
      </c>
      <c r="E626" t="s">
        <v>42</v>
      </c>
      <c r="F626" t="s">
        <v>22</v>
      </c>
      <c r="G626" t="s">
        <v>105</v>
      </c>
      <c r="H626" t="s">
        <v>24</v>
      </c>
      <c r="I626">
        <v>2</v>
      </c>
      <c r="J626">
        <v>3120</v>
      </c>
      <c r="K626">
        <v>0.1</v>
      </c>
      <c r="L626" t="s">
        <v>34</v>
      </c>
      <c r="M626" t="s">
        <v>38</v>
      </c>
      <c r="N626" t="s">
        <v>27</v>
      </c>
      <c r="O626">
        <v>6240</v>
      </c>
      <c r="P626">
        <v>624</v>
      </c>
      <c r="Q626">
        <v>5616</v>
      </c>
      <c r="R626">
        <v>2</v>
      </c>
    </row>
    <row r="627" spans="1:18">
      <c r="A627" t="s">
        <v>703</v>
      </c>
      <c r="B627" s="2">
        <v>46184</v>
      </c>
      <c r="C627" t="s">
        <v>40</v>
      </c>
      <c r="D627" t="s">
        <v>89</v>
      </c>
      <c r="E627" t="s">
        <v>42</v>
      </c>
      <c r="F627" t="s">
        <v>22</v>
      </c>
      <c r="G627" t="s">
        <v>58</v>
      </c>
      <c r="H627" t="s">
        <v>59</v>
      </c>
      <c r="I627">
        <v>3</v>
      </c>
      <c r="J627">
        <v>7640</v>
      </c>
      <c r="K627">
        <v>0</v>
      </c>
      <c r="L627" t="s">
        <v>64</v>
      </c>
      <c r="M627" t="s">
        <v>71</v>
      </c>
      <c r="N627" t="s">
        <v>45</v>
      </c>
      <c r="O627">
        <v>0</v>
      </c>
      <c r="P627">
        <v>0</v>
      </c>
      <c r="Q627">
        <v>0</v>
      </c>
    </row>
    <row r="628" spans="1:18">
      <c r="A628" t="s">
        <v>704</v>
      </c>
      <c r="B628" s="2">
        <v>46185</v>
      </c>
      <c r="C628" t="s">
        <v>82</v>
      </c>
      <c r="D628" t="s">
        <v>178</v>
      </c>
      <c r="E628" t="s">
        <v>70</v>
      </c>
      <c r="F628" t="s">
        <v>31</v>
      </c>
      <c r="G628" t="s">
        <v>152</v>
      </c>
      <c r="H628" t="s">
        <v>74</v>
      </c>
      <c r="I628">
        <v>3</v>
      </c>
      <c r="J628">
        <v>14910</v>
      </c>
      <c r="K628">
        <v>0.08</v>
      </c>
      <c r="L628" t="s">
        <v>54</v>
      </c>
      <c r="M628" t="s">
        <v>50</v>
      </c>
      <c r="N628" t="s">
        <v>27</v>
      </c>
      <c r="O628">
        <v>44730</v>
      </c>
      <c r="P628">
        <v>3578.4</v>
      </c>
      <c r="Q628">
        <v>41151.599999999999</v>
      </c>
      <c r="R628">
        <v>4</v>
      </c>
    </row>
    <row r="629" spans="1:18">
      <c r="A629" t="s">
        <v>705</v>
      </c>
      <c r="B629" s="2">
        <v>46186</v>
      </c>
      <c r="C629" t="s">
        <v>29</v>
      </c>
      <c r="D629" t="s">
        <v>85</v>
      </c>
      <c r="E629" t="s">
        <v>42</v>
      </c>
      <c r="F629" t="s">
        <v>31</v>
      </c>
      <c r="G629" t="s">
        <v>62</v>
      </c>
      <c r="H629" t="s">
        <v>33</v>
      </c>
      <c r="I629">
        <v>2</v>
      </c>
      <c r="J629">
        <v>1840</v>
      </c>
      <c r="K629">
        <v>0.08</v>
      </c>
      <c r="L629" t="s">
        <v>64</v>
      </c>
      <c r="M629" t="s">
        <v>55</v>
      </c>
      <c r="N629" t="s">
        <v>27</v>
      </c>
      <c r="O629">
        <v>3680</v>
      </c>
      <c r="P629">
        <v>294.39999999999998</v>
      </c>
      <c r="Q629">
        <v>3385.6</v>
      </c>
      <c r="R629">
        <v>4</v>
      </c>
    </row>
    <row r="630" spans="1:18">
      <c r="A630" t="s">
        <v>706</v>
      </c>
      <c r="B630" s="2">
        <v>46186</v>
      </c>
      <c r="C630" t="s">
        <v>40</v>
      </c>
      <c r="D630" t="s">
        <v>47</v>
      </c>
      <c r="E630" t="s">
        <v>70</v>
      </c>
      <c r="F630" t="s">
        <v>22</v>
      </c>
      <c r="G630" t="s">
        <v>152</v>
      </c>
      <c r="H630" t="s">
        <v>74</v>
      </c>
      <c r="I630">
        <v>1</v>
      </c>
      <c r="J630">
        <v>14900</v>
      </c>
      <c r="K630">
        <v>0.08</v>
      </c>
      <c r="L630" t="s">
        <v>64</v>
      </c>
      <c r="M630" t="s">
        <v>35</v>
      </c>
      <c r="N630" t="s">
        <v>27</v>
      </c>
      <c r="O630">
        <v>14900</v>
      </c>
      <c r="P630">
        <v>1192</v>
      </c>
      <c r="Q630">
        <v>13708</v>
      </c>
      <c r="R630">
        <v>4</v>
      </c>
    </row>
    <row r="631" spans="1:18">
      <c r="A631" t="s">
        <v>707</v>
      </c>
      <c r="B631" s="2">
        <v>46187</v>
      </c>
      <c r="C631" t="s">
        <v>40</v>
      </c>
      <c r="D631" t="s">
        <v>47</v>
      </c>
      <c r="E631" t="s">
        <v>42</v>
      </c>
      <c r="F631" t="s">
        <v>22</v>
      </c>
      <c r="G631" t="s">
        <v>149</v>
      </c>
      <c r="H631" t="s">
        <v>33</v>
      </c>
      <c r="I631">
        <v>3</v>
      </c>
      <c r="J631">
        <v>3480</v>
      </c>
      <c r="K631">
        <v>0</v>
      </c>
      <c r="L631" t="s">
        <v>68</v>
      </c>
      <c r="M631" t="s">
        <v>50</v>
      </c>
      <c r="N631" t="s">
        <v>27</v>
      </c>
      <c r="O631">
        <v>10440</v>
      </c>
      <c r="P631">
        <v>0</v>
      </c>
      <c r="Q631">
        <v>10440</v>
      </c>
      <c r="R631">
        <v>4</v>
      </c>
    </row>
    <row r="632" spans="1:18">
      <c r="A632" t="s">
        <v>708</v>
      </c>
      <c r="B632" s="2">
        <v>46188</v>
      </c>
      <c r="C632" t="s">
        <v>40</v>
      </c>
      <c r="D632" t="s">
        <v>115</v>
      </c>
      <c r="E632" t="s">
        <v>42</v>
      </c>
      <c r="F632" t="s">
        <v>22</v>
      </c>
      <c r="G632" t="s">
        <v>95</v>
      </c>
      <c r="H632" t="s">
        <v>24</v>
      </c>
      <c r="I632">
        <v>2</v>
      </c>
      <c r="J632">
        <v>20550</v>
      </c>
      <c r="K632">
        <v>0.1</v>
      </c>
      <c r="L632" t="s">
        <v>25</v>
      </c>
      <c r="M632" t="s">
        <v>71</v>
      </c>
      <c r="N632" t="s">
        <v>27</v>
      </c>
      <c r="O632">
        <v>41100</v>
      </c>
      <c r="P632">
        <v>4110</v>
      </c>
      <c r="Q632">
        <v>36990</v>
      </c>
      <c r="R632">
        <v>4</v>
      </c>
    </row>
    <row r="633" spans="1:18">
      <c r="A633" t="s">
        <v>709</v>
      </c>
      <c r="B633" s="2">
        <v>46188</v>
      </c>
      <c r="C633" t="s">
        <v>40</v>
      </c>
      <c r="D633" t="s">
        <v>41</v>
      </c>
      <c r="E633" t="s">
        <v>42</v>
      </c>
      <c r="F633" t="s">
        <v>22</v>
      </c>
      <c r="G633" t="s">
        <v>37</v>
      </c>
      <c r="H633" t="s">
        <v>24</v>
      </c>
      <c r="I633">
        <v>2</v>
      </c>
      <c r="J633">
        <v>62280</v>
      </c>
      <c r="K633">
        <v>0.05</v>
      </c>
      <c r="L633" t="s">
        <v>64</v>
      </c>
      <c r="M633" t="s">
        <v>55</v>
      </c>
      <c r="N633" t="s">
        <v>27</v>
      </c>
      <c r="O633">
        <v>124560</v>
      </c>
      <c r="P633">
        <v>6228</v>
      </c>
      <c r="Q633">
        <v>118332</v>
      </c>
      <c r="R633">
        <v>4</v>
      </c>
    </row>
    <row r="634" spans="1:18">
      <c r="A634" t="s">
        <v>710</v>
      </c>
      <c r="B634" s="2">
        <v>46190</v>
      </c>
      <c r="C634" t="s">
        <v>40</v>
      </c>
      <c r="D634" t="s">
        <v>115</v>
      </c>
      <c r="E634" t="s">
        <v>21</v>
      </c>
      <c r="F634" t="s">
        <v>22</v>
      </c>
      <c r="G634" t="s">
        <v>23</v>
      </c>
      <c r="H634" t="s">
        <v>24</v>
      </c>
      <c r="I634">
        <v>2</v>
      </c>
      <c r="J634">
        <v>26120</v>
      </c>
      <c r="K634">
        <v>0.05</v>
      </c>
      <c r="L634" t="s">
        <v>25</v>
      </c>
      <c r="M634" t="s">
        <v>66</v>
      </c>
      <c r="N634" t="s">
        <v>27</v>
      </c>
      <c r="O634">
        <v>52240</v>
      </c>
      <c r="P634">
        <v>2612</v>
      </c>
      <c r="Q634">
        <v>49628</v>
      </c>
      <c r="R634">
        <v>3</v>
      </c>
    </row>
    <row r="635" spans="1:18">
      <c r="A635" t="s">
        <v>711</v>
      </c>
      <c r="B635" s="2">
        <v>46190</v>
      </c>
      <c r="C635" t="s">
        <v>40</v>
      </c>
      <c r="D635" t="s">
        <v>115</v>
      </c>
      <c r="E635" t="s">
        <v>42</v>
      </c>
      <c r="F635" t="s">
        <v>22</v>
      </c>
      <c r="G635" t="s">
        <v>23</v>
      </c>
      <c r="H635" t="s">
        <v>24</v>
      </c>
      <c r="I635">
        <v>4</v>
      </c>
      <c r="J635">
        <v>26910</v>
      </c>
      <c r="K635">
        <v>0.08</v>
      </c>
      <c r="L635" t="s">
        <v>68</v>
      </c>
      <c r="M635" t="s">
        <v>35</v>
      </c>
      <c r="N635" t="s">
        <v>27</v>
      </c>
      <c r="O635">
        <v>107640</v>
      </c>
      <c r="P635">
        <v>8611.2000000000007</v>
      </c>
      <c r="Q635">
        <v>99028.800000000003</v>
      </c>
      <c r="R635">
        <v>4</v>
      </c>
    </row>
    <row r="636" spans="1:18">
      <c r="A636" t="s">
        <v>712</v>
      </c>
      <c r="B636" s="2">
        <v>46190</v>
      </c>
      <c r="C636" t="s">
        <v>29</v>
      </c>
      <c r="D636" t="s">
        <v>85</v>
      </c>
      <c r="E636" t="s">
        <v>42</v>
      </c>
      <c r="F636" t="s">
        <v>22</v>
      </c>
      <c r="G636" t="s">
        <v>95</v>
      </c>
      <c r="H636" t="s">
        <v>24</v>
      </c>
      <c r="I636">
        <v>1</v>
      </c>
      <c r="J636">
        <v>22440</v>
      </c>
      <c r="K636">
        <v>0.03</v>
      </c>
      <c r="L636" t="s">
        <v>34</v>
      </c>
      <c r="M636" t="s">
        <v>71</v>
      </c>
      <c r="N636" t="s">
        <v>27</v>
      </c>
      <c r="O636">
        <v>22440</v>
      </c>
      <c r="P636">
        <v>673.2</v>
      </c>
      <c r="Q636">
        <v>21766.799999999999</v>
      </c>
      <c r="R636">
        <v>4</v>
      </c>
    </row>
    <row r="637" spans="1:18">
      <c r="A637" t="s">
        <v>713</v>
      </c>
      <c r="B637" s="2">
        <v>46192</v>
      </c>
      <c r="C637" t="s">
        <v>40</v>
      </c>
      <c r="D637" t="s">
        <v>41</v>
      </c>
      <c r="E637" t="s">
        <v>42</v>
      </c>
      <c r="F637" t="s">
        <v>22</v>
      </c>
      <c r="G637" t="s">
        <v>37</v>
      </c>
      <c r="H637" t="s">
        <v>24</v>
      </c>
      <c r="I637">
        <v>5</v>
      </c>
      <c r="J637">
        <v>60930</v>
      </c>
      <c r="K637">
        <v>0.15</v>
      </c>
      <c r="L637" t="s">
        <v>64</v>
      </c>
      <c r="M637" t="s">
        <v>44</v>
      </c>
      <c r="N637" t="s">
        <v>27</v>
      </c>
      <c r="O637">
        <v>304650</v>
      </c>
      <c r="P637">
        <v>45697.5</v>
      </c>
      <c r="Q637">
        <v>258952.5</v>
      </c>
      <c r="R637">
        <v>3</v>
      </c>
    </row>
    <row r="638" spans="1:18">
      <c r="A638" t="s">
        <v>714</v>
      </c>
      <c r="B638" s="2">
        <v>46193</v>
      </c>
      <c r="C638" t="s">
        <v>19</v>
      </c>
      <c r="D638" t="s">
        <v>57</v>
      </c>
      <c r="E638" t="s">
        <v>21</v>
      </c>
      <c r="F638" t="s">
        <v>22</v>
      </c>
      <c r="G638" t="s">
        <v>62</v>
      </c>
      <c r="H638" t="s">
        <v>33</v>
      </c>
      <c r="I638">
        <v>2</v>
      </c>
      <c r="J638">
        <v>1780</v>
      </c>
      <c r="K638">
        <v>0.08</v>
      </c>
      <c r="L638" t="s">
        <v>64</v>
      </c>
      <c r="M638" t="s">
        <v>44</v>
      </c>
      <c r="N638" t="s">
        <v>27</v>
      </c>
      <c r="O638">
        <v>3560</v>
      </c>
      <c r="P638">
        <v>284.8</v>
      </c>
      <c r="Q638">
        <v>3275.2</v>
      </c>
      <c r="R638">
        <v>1</v>
      </c>
    </row>
    <row r="639" spans="1:18">
      <c r="A639" t="s">
        <v>715</v>
      </c>
      <c r="B639" s="2">
        <v>46194</v>
      </c>
      <c r="C639" t="s">
        <v>29</v>
      </c>
      <c r="D639" t="s">
        <v>85</v>
      </c>
      <c r="E639" t="s">
        <v>42</v>
      </c>
      <c r="F639" t="s">
        <v>31</v>
      </c>
      <c r="G639" t="s">
        <v>92</v>
      </c>
      <c r="H639" t="s">
        <v>24</v>
      </c>
      <c r="I639">
        <v>3</v>
      </c>
      <c r="J639">
        <v>17600</v>
      </c>
      <c r="K639">
        <v>0</v>
      </c>
      <c r="L639" t="s">
        <v>64</v>
      </c>
      <c r="M639" t="s">
        <v>38</v>
      </c>
      <c r="N639" t="s">
        <v>27</v>
      </c>
      <c r="O639">
        <v>52800</v>
      </c>
      <c r="P639">
        <v>0</v>
      </c>
      <c r="Q639">
        <v>52800</v>
      </c>
      <c r="R639">
        <v>5</v>
      </c>
    </row>
    <row r="640" spans="1:18">
      <c r="A640" t="s">
        <v>716</v>
      </c>
      <c r="B640" s="2">
        <v>46195</v>
      </c>
      <c r="C640" t="s">
        <v>29</v>
      </c>
      <c r="D640" t="s">
        <v>61</v>
      </c>
      <c r="E640" t="s">
        <v>42</v>
      </c>
      <c r="F640" t="s">
        <v>22</v>
      </c>
      <c r="G640" t="s">
        <v>32</v>
      </c>
      <c r="H640" t="s">
        <v>33</v>
      </c>
      <c r="I640">
        <v>5</v>
      </c>
      <c r="J640">
        <v>2390</v>
      </c>
      <c r="K640">
        <v>0.08</v>
      </c>
      <c r="L640" t="s">
        <v>54</v>
      </c>
      <c r="M640" t="s">
        <v>50</v>
      </c>
      <c r="N640" t="s">
        <v>27</v>
      </c>
      <c r="O640">
        <v>11950</v>
      </c>
      <c r="P640">
        <v>956</v>
      </c>
      <c r="Q640">
        <v>10994</v>
      </c>
      <c r="R640">
        <v>3</v>
      </c>
    </row>
    <row r="641" spans="1:18">
      <c r="A641" t="s">
        <v>717</v>
      </c>
      <c r="B641" s="2">
        <v>46196</v>
      </c>
      <c r="C641" t="s">
        <v>82</v>
      </c>
      <c r="D641" t="s">
        <v>178</v>
      </c>
      <c r="E641" t="s">
        <v>42</v>
      </c>
      <c r="F641" t="s">
        <v>22</v>
      </c>
      <c r="G641" t="s">
        <v>48</v>
      </c>
      <c r="H641" t="s">
        <v>49</v>
      </c>
      <c r="I641">
        <v>1</v>
      </c>
      <c r="J641">
        <v>12150</v>
      </c>
      <c r="K641">
        <v>0.05</v>
      </c>
      <c r="L641" t="s">
        <v>64</v>
      </c>
      <c r="M641" t="s">
        <v>50</v>
      </c>
      <c r="N641" t="s">
        <v>27</v>
      </c>
      <c r="O641">
        <v>12150</v>
      </c>
      <c r="P641">
        <v>607.5</v>
      </c>
      <c r="Q641">
        <v>11542.5</v>
      </c>
      <c r="R641">
        <v>3</v>
      </c>
    </row>
    <row r="642" spans="1:18">
      <c r="A642" t="s">
        <v>718</v>
      </c>
      <c r="B642" s="2">
        <v>46196</v>
      </c>
      <c r="C642" t="s">
        <v>82</v>
      </c>
      <c r="D642" t="s">
        <v>178</v>
      </c>
      <c r="E642" t="s">
        <v>42</v>
      </c>
      <c r="F642" t="s">
        <v>22</v>
      </c>
      <c r="G642" t="s">
        <v>101</v>
      </c>
      <c r="H642" t="s">
        <v>33</v>
      </c>
      <c r="I642">
        <v>1</v>
      </c>
      <c r="J642">
        <v>1890</v>
      </c>
      <c r="K642">
        <v>0.1</v>
      </c>
      <c r="L642" t="s">
        <v>68</v>
      </c>
      <c r="M642" t="s">
        <v>71</v>
      </c>
      <c r="N642" t="s">
        <v>27</v>
      </c>
      <c r="O642">
        <v>1890</v>
      </c>
      <c r="P642">
        <v>189</v>
      </c>
      <c r="Q642">
        <v>1701</v>
      </c>
      <c r="R642">
        <v>4</v>
      </c>
    </row>
    <row r="643" spans="1:18">
      <c r="A643" t="s">
        <v>719</v>
      </c>
      <c r="B643" s="2">
        <v>46197</v>
      </c>
      <c r="C643" t="s">
        <v>82</v>
      </c>
      <c r="D643" t="s">
        <v>178</v>
      </c>
      <c r="E643" t="s">
        <v>42</v>
      </c>
      <c r="F643" t="s">
        <v>22</v>
      </c>
      <c r="G643" t="s">
        <v>95</v>
      </c>
      <c r="H643" t="s">
        <v>24</v>
      </c>
      <c r="I643">
        <v>4</v>
      </c>
      <c r="J643">
        <v>23200</v>
      </c>
      <c r="K643">
        <v>0</v>
      </c>
      <c r="L643" t="s">
        <v>64</v>
      </c>
      <c r="M643" t="s">
        <v>38</v>
      </c>
      <c r="N643" t="s">
        <v>27</v>
      </c>
      <c r="O643">
        <v>92800</v>
      </c>
      <c r="P643">
        <v>0</v>
      </c>
      <c r="Q643">
        <v>92800</v>
      </c>
      <c r="R643">
        <v>2</v>
      </c>
    </row>
    <row r="644" spans="1:18">
      <c r="A644" t="s">
        <v>720</v>
      </c>
      <c r="B644" s="2">
        <v>46198</v>
      </c>
      <c r="C644" t="s">
        <v>29</v>
      </c>
      <c r="D644" t="s">
        <v>85</v>
      </c>
      <c r="E644" t="s">
        <v>70</v>
      </c>
      <c r="F644" t="s">
        <v>22</v>
      </c>
      <c r="G644" t="s">
        <v>95</v>
      </c>
      <c r="H644" t="s">
        <v>24</v>
      </c>
      <c r="I644">
        <v>5</v>
      </c>
      <c r="J644">
        <v>21790</v>
      </c>
      <c r="K644">
        <v>0.08</v>
      </c>
      <c r="L644" t="s">
        <v>54</v>
      </c>
      <c r="M644" t="s">
        <v>35</v>
      </c>
      <c r="N644" t="s">
        <v>27</v>
      </c>
      <c r="O644">
        <v>108950</v>
      </c>
      <c r="P644">
        <v>8716</v>
      </c>
      <c r="Q644">
        <v>100234</v>
      </c>
      <c r="R644">
        <v>3</v>
      </c>
    </row>
    <row r="645" spans="1:18">
      <c r="A645" t="s">
        <v>721</v>
      </c>
      <c r="B645" s="2">
        <v>46198</v>
      </c>
      <c r="C645" t="s">
        <v>40</v>
      </c>
      <c r="D645" t="s">
        <v>41</v>
      </c>
      <c r="E645" t="s">
        <v>42</v>
      </c>
      <c r="F645" t="s">
        <v>22</v>
      </c>
      <c r="G645" t="s">
        <v>73</v>
      </c>
      <c r="H645" t="s">
        <v>74</v>
      </c>
      <c r="I645">
        <v>3</v>
      </c>
      <c r="J645">
        <v>11310</v>
      </c>
      <c r="K645">
        <v>0.08</v>
      </c>
      <c r="L645" t="s">
        <v>25</v>
      </c>
      <c r="M645" t="s">
        <v>71</v>
      </c>
      <c r="N645" t="s">
        <v>27</v>
      </c>
      <c r="O645">
        <v>33930</v>
      </c>
      <c r="P645">
        <v>2714.4</v>
      </c>
      <c r="Q645">
        <v>31215.599999999999</v>
      </c>
      <c r="R645">
        <v>6</v>
      </c>
    </row>
    <row r="646" spans="1:18">
      <c r="A646" t="s">
        <v>722</v>
      </c>
      <c r="B646" s="2">
        <v>46198</v>
      </c>
      <c r="C646" t="s">
        <v>40</v>
      </c>
      <c r="D646" t="s">
        <v>47</v>
      </c>
      <c r="E646" t="s">
        <v>70</v>
      </c>
      <c r="F646" t="s">
        <v>22</v>
      </c>
      <c r="G646" t="s">
        <v>58</v>
      </c>
      <c r="H646" t="s">
        <v>59</v>
      </c>
      <c r="I646">
        <v>1</v>
      </c>
      <c r="J646">
        <v>6860</v>
      </c>
      <c r="K646">
        <v>0.03</v>
      </c>
      <c r="L646" t="s">
        <v>54</v>
      </c>
      <c r="M646" t="s">
        <v>26</v>
      </c>
      <c r="N646" t="s">
        <v>27</v>
      </c>
      <c r="O646">
        <v>6860</v>
      </c>
      <c r="P646">
        <v>205.8</v>
      </c>
      <c r="Q646">
        <v>6654.2</v>
      </c>
      <c r="R646">
        <v>3</v>
      </c>
    </row>
    <row r="647" spans="1:18">
      <c r="A647" t="s">
        <v>723</v>
      </c>
      <c r="B647" s="2">
        <v>46198</v>
      </c>
      <c r="C647" t="s">
        <v>40</v>
      </c>
      <c r="D647" t="s">
        <v>47</v>
      </c>
      <c r="E647" t="s">
        <v>42</v>
      </c>
      <c r="F647" t="s">
        <v>22</v>
      </c>
      <c r="G647" t="s">
        <v>95</v>
      </c>
      <c r="H647" t="s">
        <v>24</v>
      </c>
      <c r="I647">
        <v>3</v>
      </c>
      <c r="J647">
        <v>21730</v>
      </c>
      <c r="K647">
        <v>0.1</v>
      </c>
      <c r="L647" t="s">
        <v>64</v>
      </c>
      <c r="M647" t="s">
        <v>55</v>
      </c>
      <c r="N647" t="s">
        <v>27</v>
      </c>
      <c r="O647">
        <v>65190</v>
      </c>
      <c r="P647">
        <v>6519</v>
      </c>
      <c r="Q647">
        <v>58671</v>
      </c>
      <c r="R647">
        <v>2</v>
      </c>
    </row>
    <row r="648" spans="1:18">
      <c r="A648" t="s">
        <v>724</v>
      </c>
      <c r="B648" s="2">
        <v>46198</v>
      </c>
      <c r="C648" t="s">
        <v>19</v>
      </c>
      <c r="D648" t="s">
        <v>103</v>
      </c>
      <c r="E648" t="s">
        <v>42</v>
      </c>
      <c r="F648" t="s">
        <v>31</v>
      </c>
      <c r="G648" t="s">
        <v>152</v>
      </c>
      <c r="H648" t="s">
        <v>74</v>
      </c>
      <c r="I648">
        <v>1</v>
      </c>
      <c r="J648">
        <v>15200</v>
      </c>
      <c r="K648">
        <v>0</v>
      </c>
      <c r="L648" t="s">
        <v>68</v>
      </c>
      <c r="M648" t="s">
        <v>38</v>
      </c>
      <c r="N648" t="s">
        <v>27</v>
      </c>
      <c r="O648">
        <v>15200</v>
      </c>
      <c r="P648">
        <v>0</v>
      </c>
      <c r="Q648">
        <v>15200</v>
      </c>
      <c r="R648">
        <v>3</v>
      </c>
    </row>
    <row r="649" spans="1:18">
      <c r="A649" t="s">
        <v>725</v>
      </c>
      <c r="B649" s="2">
        <v>46199</v>
      </c>
      <c r="C649" t="s">
        <v>40</v>
      </c>
      <c r="D649" t="s">
        <v>47</v>
      </c>
      <c r="E649" t="s">
        <v>42</v>
      </c>
      <c r="F649" t="s">
        <v>22</v>
      </c>
      <c r="G649" t="s">
        <v>58</v>
      </c>
      <c r="H649" t="s">
        <v>59</v>
      </c>
      <c r="I649">
        <v>1</v>
      </c>
      <c r="J649">
        <v>7150</v>
      </c>
      <c r="K649">
        <v>0.08</v>
      </c>
      <c r="L649" t="s">
        <v>68</v>
      </c>
      <c r="M649" t="s">
        <v>44</v>
      </c>
      <c r="N649" t="s">
        <v>27</v>
      </c>
      <c r="O649">
        <v>7150</v>
      </c>
      <c r="P649">
        <v>572</v>
      </c>
      <c r="Q649">
        <v>6578</v>
      </c>
      <c r="R649">
        <v>1</v>
      </c>
    </row>
    <row r="650" spans="1:18">
      <c r="A650" t="s">
        <v>726</v>
      </c>
      <c r="B650" s="2">
        <v>46201</v>
      </c>
      <c r="C650" t="s">
        <v>29</v>
      </c>
      <c r="D650" t="s">
        <v>85</v>
      </c>
      <c r="E650" t="s">
        <v>42</v>
      </c>
      <c r="F650" t="s">
        <v>53</v>
      </c>
      <c r="G650" t="s">
        <v>152</v>
      </c>
      <c r="H650" t="s">
        <v>74</v>
      </c>
      <c r="I650">
        <v>1</v>
      </c>
      <c r="J650">
        <v>13910</v>
      </c>
      <c r="K650">
        <v>0.05</v>
      </c>
      <c r="L650" t="s">
        <v>64</v>
      </c>
      <c r="M650" t="s">
        <v>66</v>
      </c>
      <c r="N650" t="s">
        <v>27</v>
      </c>
      <c r="O650">
        <v>13910</v>
      </c>
      <c r="P650">
        <v>695.5</v>
      </c>
      <c r="Q650">
        <v>13214.5</v>
      </c>
      <c r="R650">
        <v>3</v>
      </c>
    </row>
    <row r="651" spans="1:18">
      <c r="A651" t="s">
        <v>727</v>
      </c>
      <c r="B651" s="2">
        <v>46202</v>
      </c>
      <c r="C651" t="s">
        <v>29</v>
      </c>
      <c r="D651" t="s">
        <v>85</v>
      </c>
      <c r="E651" t="s">
        <v>21</v>
      </c>
      <c r="F651" t="s">
        <v>22</v>
      </c>
      <c r="G651" t="s">
        <v>92</v>
      </c>
      <c r="H651" t="s">
        <v>24</v>
      </c>
      <c r="I651">
        <v>2</v>
      </c>
      <c r="J651">
        <v>16650</v>
      </c>
      <c r="K651">
        <v>0.05</v>
      </c>
      <c r="L651" t="s">
        <v>34</v>
      </c>
      <c r="M651" t="s">
        <v>50</v>
      </c>
      <c r="N651" t="s">
        <v>27</v>
      </c>
      <c r="O651">
        <v>33300</v>
      </c>
      <c r="P651">
        <v>1665</v>
      </c>
      <c r="Q651">
        <v>31635</v>
      </c>
      <c r="R651">
        <v>1</v>
      </c>
    </row>
    <row r="652" spans="1:18">
      <c r="A652" t="s">
        <v>233</v>
      </c>
      <c r="B652" s="2">
        <v>45921</v>
      </c>
      <c r="C652" t="s">
        <v>40</v>
      </c>
      <c r="D652" t="s">
        <v>41</v>
      </c>
      <c r="E652" t="s">
        <v>42</v>
      </c>
      <c r="F652" t="s">
        <v>22</v>
      </c>
      <c r="G652" t="s">
        <v>73</v>
      </c>
      <c r="H652" t="s">
        <v>74</v>
      </c>
      <c r="I652">
        <v>2</v>
      </c>
      <c r="J652">
        <v>11640</v>
      </c>
      <c r="K652">
        <v>0.08</v>
      </c>
      <c r="L652" t="s">
        <v>64</v>
      </c>
      <c r="M652" t="s">
        <v>66</v>
      </c>
      <c r="N652" t="s">
        <v>27</v>
      </c>
      <c r="O652">
        <v>23280</v>
      </c>
      <c r="P652">
        <v>1862.4</v>
      </c>
      <c r="Q652">
        <v>21417.599999999999</v>
      </c>
      <c r="R652">
        <v>5</v>
      </c>
    </row>
    <row r="653" spans="1:18">
      <c r="A653" t="s">
        <v>600</v>
      </c>
      <c r="B653" s="2">
        <v>46131</v>
      </c>
      <c r="C653" t="s">
        <v>82</v>
      </c>
      <c r="D653" t="s">
        <v>178</v>
      </c>
      <c r="E653" t="s">
        <v>42</v>
      </c>
      <c r="F653" t="s">
        <v>22</v>
      </c>
      <c r="G653" t="s">
        <v>105</v>
      </c>
      <c r="H653" t="s">
        <v>24</v>
      </c>
      <c r="I653">
        <v>2</v>
      </c>
      <c r="J653">
        <v>3030</v>
      </c>
      <c r="K653">
        <v>0.08</v>
      </c>
      <c r="L653" t="s">
        <v>68</v>
      </c>
      <c r="M653" t="s">
        <v>35</v>
      </c>
      <c r="N653" t="s">
        <v>27</v>
      </c>
      <c r="O653">
        <v>6060</v>
      </c>
      <c r="P653">
        <v>484.8</v>
      </c>
      <c r="Q653">
        <v>5575.2</v>
      </c>
      <c r="R653">
        <v>7</v>
      </c>
    </row>
  </sheetData>
  <autoFilter ref="A1:R65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36594-8460-44B6-BEF9-85D3BA2FC9F3}">
  <dimension ref="A1:S651"/>
  <sheetViews>
    <sheetView workbookViewId="0">
      <selection activeCell="S19" sqref="S19"/>
    </sheetView>
  </sheetViews>
  <sheetFormatPr defaultRowHeight="15"/>
  <cols>
    <col min="1" max="1" width="11.5703125" bestFit="1" customWidth="1"/>
    <col min="2" max="2" width="19.5703125" bestFit="1" customWidth="1"/>
    <col min="3" max="3" width="9.5703125" bestFit="1" customWidth="1"/>
    <col min="4" max="4" width="13" bestFit="1" customWidth="1"/>
    <col min="5" max="5" width="16.42578125" bestFit="1" customWidth="1"/>
    <col min="6" max="6" width="17.5703125" bestFit="1" customWidth="1"/>
    <col min="7" max="7" width="20.28515625" bestFit="1" customWidth="1"/>
    <col min="8" max="8" width="16.42578125" bestFit="1" customWidth="1"/>
    <col min="9" max="9" width="11.28515625" bestFit="1" customWidth="1"/>
    <col min="10" max="10" width="17.140625" bestFit="1" customWidth="1"/>
    <col min="11" max="11" width="11.28515625" bestFit="1" customWidth="1"/>
    <col min="12" max="12" width="19.85546875" bestFit="1" customWidth="1"/>
    <col min="13" max="13" width="14.140625" bestFit="1" customWidth="1"/>
    <col min="14" max="14" width="15.28515625" bestFit="1" customWidth="1"/>
    <col min="15" max="15" width="18.42578125" bestFit="1" customWidth="1"/>
    <col min="16" max="16" width="24.28515625" bestFit="1" customWidth="1"/>
    <col min="17" max="17" width="16.7109375" bestFit="1" customWidth="1"/>
    <col min="18" max="18" width="16.28515625" bestFit="1" customWidth="1"/>
    <col min="19" max="19" width="27" style="15" bestFit="1" customWidth="1"/>
    <col min="20" max="20" width="20.5703125" bestFit="1" customWidth="1"/>
    <col min="21" max="21" width="20.42578125" bestFit="1" customWidth="1"/>
  </cols>
  <sheetData>
    <row r="1" spans="1:19">
      <c r="A1" s="4" t="s">
        <v>728</v>
      </c>
      <c r="B1" s="4" t="s">
        <v>729</v>
      </c>
      <c r="C1" s="4" t="s">
        <v>2</v>
      </c>
      <c r="D1" s="4" t="s">
        <v>3</v>
      </c>
      <c r="E1" s="4" t="s">
        <v>730</v>
      </c>
      <c r="F1" s="4" t="s">
        <v>731</v>
      </c>
      <c r="G1" s="4" t="s">
        <v>6</v>
      </c>
      <c r="H1" s="4" t="s">
        <v>7</v>
      </c>
      <c r="I1" s="4" t="s">
        <v>8</v>
      </c>
      <c r="J1" s="4" t="s">
        <v>732</v>
      </c>
      <c r="K1" s="4" t="s">
        <v>10</v>
      </c>
      <c r="L1" s="4" t="s">
        <v>733</v>
      </c>
      <c r="M1" s="4" t="s">
        <v>12</v>
      </c>
      <c r="N1" s="4" t="s">
        <v>734</v>
      </c>
      <c r="O1" s="4" t="s">
        <v>735</v>
      </c>
      <c r="P1" s="4" t="s">
        <v>736</v>
      </c>
      <c r="Q1" s="4" t="s">
        <v>737</v>
      </c>
      <c r="R1" s="4" t="s">
        <v>738</v>
      </c>
      <c r="S1" s="14" t="s">
        <v>739</v>
      </c>
    </row>
    <row r="2" spans="1:19">
      <c r="A2" t="s">
        <v>18</v>
      </c>
      <c r="B2" s="2">
        <v>45839</v>
      </c>
      <c r="C2" t="s">
        <v>19</v>
      </c>
      <c r="D2" t="s">
        <v>20</v>
      </c>
      <c r="E2" t="s">
        <v>21</v>
      </c>
      <c r="F2" t="s">
        <v>22</v>
      </c>
      <c r="G2" t="s">
        <v>23</v>
      </c>
      <c r="H2" t="s">
        <v>24</v>
      </c>
      <c r="I2">
        <v>5</v>
      </c>
      <c r="J2">
        <v>26500</v>
      </c>
      <c r="K2">
        <v>0</v>
      </c>
      <c r="L2" t="s">
        <v>25</v>
      </c>
      <c r="M2" t="s">
        <v>26</v>
      </c>
      <c r="N2" t="s">
        <v>27</v>
      </c>
      <c r="O2">
        <v>132500</v>
      </c>
      <c r="P2">
        <v>0</v>
      </c>
      <c r="Q2">
        <v>132500</v>
      </c>
      <c r="R2">
        <v>3</v>
      </c>
      <c r="S2" s="15">
        <f t="shared" ref="S2:S65" si="0">DATE(YEAR(B2),MONTH(B2),1)</f>
        <v>45839</v>
      </c>
    </row>
    <row r="3" spans="1:19">
      <c r="A3" t="s">
        <v>28</v>
      </c>
      <c r="B3" s="2">
        <v>45839</v>
      </c>
      <c r="C3" t="s">
        <v>29</v>
      </c>
      <c r="D3" t="s">
        <v>30</v>
      </c>
      <c r="E3" t="s">
        <v>21</v>
      </c>
      <c r="F3" t="s">
        <v>31</v>
      </c>
      <c r="G3" t="s">
        <v>32</v>
      </c>
      <c r="H3" t="s">
        <v>33</v>
      </c>
      <c r="I3">
        <v>1</v>
      </c>
      <c r="J3">
        <v>2500</v>
      </c>
      <c r="K3">
        <v>0.03</v>
      </c>
      <c r="L3" t="s">
        <v>34</v>
      </c>
      <c r="M3" t="s">
        <v>35</v>
      </c>
      <c r="N3" t="s">
        <v>27</v>
      </c>
      <c r="O3">
        <v>2500</v>
      </c>
      <c r="P3">
        <v>75</v>
      </c>
      <c r="Q3">
        <v>2425</v>
      </c>
      <c r="R3">
        <v>2</v>
      </c>
      <c r="S3" s="15">
        <f t="shared" si="0"/>
        <v>45839</v>
      </c>
    </row>
    <row r="4" spans="1:19">
      <c r="A4" t="s">
        <v>36</v>
      </c>
      <c r="B4" s="2">
        <v>45839</v>
      </c>
      <c r="C4" t="s">
        <v>29</v>
      </c>
      <c r="D4" t="s">
        <v>30</v>
      </c>
      <c r="E4" t="s">
        <v>21</v>
      </c>
      <c r="F4" t="s">
        <v>31</v>
      </c>
      <c r="G4" t="s">
        <v>37</v>
      </c>
      <c r="H4" t="s">
        <v>24</v>
      </c>
      <c r="I4">
        <v>3</v>
      </c>
      <c r="J4">
        <v>57740</v>
      </c>
      <c r="K4">
        <v>0.05</v>
      </c>
      <c r="L4" t="s">
        <v>34</v>
      </c>
      <c r="M4" t="s">
        <v>38</v>
      </c>
      <c r="N4" t="s">
        <v>27</v>
      </c>
      <c r="O4">
        <v>173220</v>
      </c>
      <c r="P4">
        <v>8661</v>
      </c>
      <c r="Q4">
        <v>164559</v>
      </c>
      <c r="R4">
        <v>1</v>
      </c>
      <c r="S4" s="15">
        <f t="shared" si="0"/>
        <v>45839</v>
      </c>
    </row>
    <row r="5" spans="1:19">
      <c r="A5" t="s">
        <v>39</v>
      </c>
      <c r="B5" s="2">
        <v>45840</v>
      </c>
      <c r="C5" t="s">
        <v>40</v>
      </c>
      <c r="D5" t="s">
        <v>41</v>
      </c>
      <c r="E5" t="s">
        <v>42</v>
      </c>
      <c r="F5" t="s">
        <v>22</v>
      </c>
      <c r="G5" t="s">
        <v>43</v>
      </c>
      <c r="H5" t="s">
        <v>33</v>
      </c>
      <c r="I5">
        <v>3</v>
      </c>
      <c r="J5">
        <v>990</v>
      </c>
      <c r="K5">
        <v>0</v>
      </c>
      <c r="L5" t="s">
        <v>34</v>
      </c>
      <c r="M5" t="s">
        <v>44</v>
      </c>
      <c r="N5" t="s">
        <v>45</v>
      </c>
      <c r="O5">
        <v>0</v>
      </c>
      <c r="P5">
        <v>0</v>
      </c>
      <c r="Q5">
        <v>0</v>
      </c>
      <c r="S5" s="15">
        <f t="shared" si="0"/>
        <v>45839</v>
      </c>
    </row>
    <row r="6" spans="1:19">
      <c r="A6" t="s">
        <v>46</v>
      </c>
      <c r="B6" s="2">
        <v>45840</v>
      </c>
      <c r="C6" t="s">
        <v>40</v>
      </c>
      <c r="D6" t="s">
        <v>47</v>
      </c>
      <c r="E6" t="s">
        <v>21</v>
      </c>
      <c r="F6" t="s">
        <v>22</v>
      </c>
      <c r="G6" t="s">
        <v>48</v>
      </c>
      <c r="H6" t="s">
        <v>49</v>
      </c>
      <c r="I6">
        <v>2</v>
      </c>
      <c r="J6">
        <v>13300</v>
      </c>
      <c r="K6">
        <v>0.15</v>
      </c>
      <c r="L6" t="s">
        <v>25</v>
      </c>
      <c r="M6" t="s">
        <v>50</v>
      </c>
      <c r="N6" t="s">
        <v>27</v>
      </c>
      <c r="O6">
        <v>26600</v>
      </c>
      <c r="P6">
        <v>3990</v>
      </c>
      <c r="Q6">
        <v>22610</v>
      </c>
      <c r="R6">
        <v>3</v>
      </c>
      <c r="S6" s="15">
        <f t="shared" si="0"/>
        <v>45839</v>
      </c>
    </row>
    <row r="7" spans="1:19">
      <c r="A7" t="s">
        <v>51</v>
      </c>
      <c r="B7" s="2">
        <v>45840</v>
      </c>
      <c r="C7" t="s">
        <v>19</v>
      </c>
      <c r="D7" t="s">
        <v>52</v>
      </c>
      <c r="E7" t="s">
        <v>21</v>
      </c>
      <c r="F7" t="s">
        <v>53</v>
      </c>
      <c r="G7" t="s">
        <v>23</v>
      </c>
      <c r="H7" t="s">
        <v>24</v>
      </c>
      <c r="I7">
        <v>1</v>
      </c>
      <c r="J7">
        <v>29800</v>
      </c>
      <c r="K7">
        <v>0.1</v>
      </c>
      <c r="L7" t="s">
        <v>54</v>
      </c>
      <c r="M7" t="s">
        <v>55</v>
      </c>
      <c r="N7" t="s">
        <v>27</v>
      </c>
      <c r="O7">
        <v>29800</v>
      </c>
      <c r="P7">
        <v>2980</v>
      </c>
      <c r="Q7">
        <v>26820</v>
      </c>
      <c r="R7">
        <v>3</v>
      </c>
      <c r="S7" s="15">
        <f t="shared" si="0"/>
        <v>45839</v>
      </c>
    </row>
    <row r="8" spans="1:19">
      <c r="A8" t="s">
        <v>56</v>
      </c>
      <c r="B8" s="2">
        <v>45840</v>
      </c>
      <c r="C8" t="s">
        <v>19</v>
      </c>
      <c r="D8" t="s">
        <v>57</v>
      </c>
      <c r="E8" t="s">
        <v>21</v>
      </c>
      <c r="F8" t="s">
        <v>31</v>
      </c>
      <c r="G8" t="s">
        <v>58</v>
      </c>
      <c r="H8" t="s">
        <v>59</v>
      </c>
      <c r="I8">
        <v>1</v>
      </c>
      <c r="J8">
        <v>6710</v>
      </c>
      <c r="K8">
        <v>0</v>
      </c>
      <c r="L8" t="s">
        <v>34</v>
      </c>
      <c r="M8" t="s">
        <v>44</v>
      </c>
      <c r="N8" t="s">
        <v>27</v>
      </c>
      <c r="O8">
        <v>6710</v>
      </c>
      <c r="P8">
        <v>0</v>
      </c>
      <c r="Q8">
        <v>6710</v>
      </c>
      <c r="R8">
        <v>2</v>
      </c>
      <c r="S8" s="15">
        <f t="shared" si="0"/>
        <v>45839</v>
      </c>
    </row>
    <row r="9" spans="1:19">
      <c r="A9" t="s">
        <v>60</v>
      </c>
      <c r="B9" s="2">
        <v>45842</v>
      </c>
      <c r="C9" t="s">
        <v>29</v>
      </c>
      <c r="D9" t="s">
        <v>61</v>
      </c>
      <c r="E9" t="s">
        <v>42</v>
      </c>
      <c r="F9" t="s">
        <v>31</v>
      </c>
      <c r="G9" t="s">
        <v>62</v>
      </c>
      <c r="H9" t="s">
        <v>33</v>
      </c>
      <c r="I9">
        <v>3</v>
      </c>
      <c r="J9">
        <v>1790</v>
      </c>
      <c r="K9">
        <v>0.05</v>
      </c>
      <c r="L9" t="s">
        <v>34</v>
      </c>
      <c r="M9" t="s">
        <v>50</v>
      </c>
      <c r="N9" t="s">
        <v>27</v>
      </c>
      <c r="O9">
        <v>5370</v>
      </c>
      <c r="P9">
        <v>268.5</v>
      </c>
      <c r="Q9">
        <v>5101.5</v>
      </c>
      <c r="R9">
        <v>3</v>
      </c>
      <c r="S9" s="15">
        <f t="shared" si="0"/>
        <v>45839</v>
      </c>
    </row>
    <row r="10" spans="1:19">
      <c r="A10" t="s">
        <v>63</v>
      </c>
      <c r="B10" s="2">
        <v>45842</v>
      </c>
      <c r="C10" t="s">
        <v>29</v>
      </c>
      <c r="D10" t="s">
        <v>61</v>
      </c>
      <c r="E10" t="s">
        <v>42</v>
      </c>
      <c r="F10" t="s">
        <v>31</v>
      </c>
      <c r="G10" t="s">
        <v>58</v>
      </c>
      <c r="H10" t="s">
        <v>59</v>
      </c>
      <c r="I10">
        <v>2</v>
      </c>
      <c r="J10">
        <v>6850</v>
      </c>
      <c r="K10">
        <v>0.05</v>
      </c>
      <c r="L10" t="s">
        <v>64</v>
      </c>
      <c r="M10" t="s">
        <v>26</v>
      </c>
      <c r="N10" t="s">
        <v>27</v>
      </c>
      <c r="O10">
        <v>13700</v>
      </c>
      <c r="P10">
        <v>685</v>
      </c>
      <c r="Q10">
        <v>13015</v>
      </c>
      <c r="R10">
        <v>3</v>
      </c>
      <c r="S10" s="15">
        <f t="shared" si="0"/>
        <v>45839</v>
      </c>
    </row>
    <row r="11" spans="1:19">
      <c r="A11" t="s">
        <v>65</v>
      </c>
      <c r="B11" s="2">
        <v>45842</v>
      </c>
      <c r="C11" t="s">
        <v>19</v>
      </c>
      <c r="D11" t="s">
        <v>57</v>
      </c>
      <c r="E11" t="s">
        <v>21</v>
      </c>
      <c r="F11" t="s">
        <v>53</v>
      </c>
      <c r="G11" t="s">
        <v>58</v>
      </c>
      <c r="H11" t="s">
        <v>59</v>
      </c>
      <c r="I11">
        <v>4</v>
      </c>
      <c r="J11">
        <v>6700</v>
      </c>
      <c r="K11">
        <v>0.03</v>
      </c>
      <c r="L11" t="s">
        <v>64</v>
      </c>
      <c r="M11" t="s">
        <v>66</v>
      </c>
      <c r="N11" t="s">
        <v>27</v>
      </c>
      <c r="O11">
        <v>26800</v>
      </c>
      <c r="P11">
        <v>804</v>
      </c>
      <c r="Q11">
        <v>25996</v>
      </c>
      <c r="R11">
        <v>4</v>
      </c>
      <c r="S11" s="15">
        <f t="shared" si="0"/>
        <v>45839</v>
      </c>
    </row>
    <row r="12" spans="1:19">
      <c r="A12" t="s">
        <v>67</v>
      </c>
      <c r="B12" s="2">
        <v>45842</v>
      </c>
      <c r="C12" t="s">
        <v>29</v>
      </c>
      <c r="D12" t="s">
        <v>30</v>
      </c>
      <c r="E12" t="s">
        <v>42</v>
      </c>
      <c r="F12" t="s">
        <v>22</v>
      </c>
      <c r="G12" t="s">
        <v>62</v>
      </c>
      <c r="H12" t="s">
        <v>33</v>
      </c>
      <c r="I12">
        <v>1</v>
      </c>
      <c r="J12">
        <v>1740</v>
      </c>
      <c r="K12">
        <v>0</v>
      </c>
      <c r="L12" t="s">
        <v>68</v>
      </c>
      <c r="M12" t="s">
        <v>38</v>
      </c>
      <c r="N12" t="s">
        <v>27</v>
      </c>
      <c r="O12">
        <v>1740</v>
      </c>
      <c r="P12">
        <v>0</v>
      </c>
      <c r="Q12">
        <v>1740</v>
      </c>
      <c r="R12">
        <v>4</v>
      </c>
      <c r="S12" s="15">
        <f t="shared" si="0"/>
        <v>45839</v>
      </c>
    </row>
    <row r="13" spans="1:19">
      <c r="A13" t="s">
        <v>69</v>
      </c>
      <c r="B13" s="2">
        <v>45843</v>
      </c>
      <c r="C13" t="s">
        <v>29</v>
      </c>
      <c r="D13" t="s">
        <v>61</v>
      </c>
      <c r="E13" t="s">
        <v>70</v>
      </c>
      <c r="F13" t="s">
        <v>22</v>
      </c>
      <c r="G13" t="s">
        <v>43</v>
      </c>
      <c r="H13" t="s">
        <v>33</v>
      </c>
      <c r="I13">
        <v>5</v>
      </c>
      <c r="J13">
        <v>950</v>
      </c>
      <c r="K13">
        <v>0.1</v>
      </c>
      <c r="L13" t="s">
        <v>64</v>
      </c>
      <c r="M13" t="s">
        <v>71</v>
      </c>
      <c r="N13" t="s">
        <v>27</v>
      </c>
      <c r="O13">
        <v>4750</v>
      </c>
      <c r="P13">
        <v>475</v>
      </c>
      <c r="Q13">
        <v>4275</v>
      </c>
      <c r="R13">
        <v>3</v>
      </c>
      <c r="S13" s="15">
        <f t="shared" si="0"/>
        <v>45839</v>
      </c>
    </row>
    <row r="14" spans="1:19">
      <c r="A14" t="s">
        <v>72</v>
      </c>
      <c r="B14" s="2">
        <v>45843</v>
      </c>
      <c r="C14" t="s">
        <v>40</v>
      </c>
      <c r="D14" t="s">
        <v>47</v>
      </c>
      <c r="E14" t="s">
        <v>42</v>
      </c>
      <c r="F14" t="s">
        <v>22</v>
      </c>
      <c r="G14" t="s">
        <v>73</v>
      </c>
      <c r="H14" t="s">
        <v>74</v>
      </c>
      <c r="I14">
        <v>2</v>
      </c>
      <c r="J14">
        <v>11810</v>
      </c>
      <c r="K14">
        <v>0.08</v>
      </c>
      <c r="L14" t="s">
        <v>68</v>
      </c>
      <c r="M14" t="s">
        <v>71</v>
      </c>
      <c r="N14" t="s">
        <v>27</v>
      </c>
      <c r="O14">
        <v>23620</v>
      </c>
      <c r="P14">
        <v>1889.6</v>
      </c>
      <c r="Q14">
        <v>21730.400000000001</v>
      </c>
      <c r="R14">
        <v>2</v>
      </c>
      <c r="S14" s="15">
        <f t="shared" si="0"/>
        <v>45839</v>
      </c>
    </row>
    <row r="15" spans="1:19">
      <c r="A15" t="s">
        <v>75</v>
      </c>
      <c r="B15" s="2">
        <v>45844</v>
      </c>
      <c r="C15" t="s">
        <v>40</v>
      </c>
      <c r="D15" t="s">
        <v>41</v>
      </c>
      <c r="E15" t="s">
        <v>21</v>
      </c>
      <c r="F15" t="s">
        <v>22</v>
      </c>
      <c r="G15" t="s">
        <v>37</v>
      </c>
      <c r="H15" t="s">
        <v>24</v>
      </c>
      <c r="I15">
        <v>3</v>
      </c>
      <c r="J15">
        <v>64490</v>
      </c>
      <c r="K15">
        <v>0</v>
      </c>
      <c r="L15" t="s">
        <v>34</v>
      </c>
      <c r="M15" t="s">
        <v>35</v>
      </c>
      <c r="N15" t="s">
        <v>27</v>
      </c>
      <c r="O15">
        <v>193470</v>
      </c>
      <c r="P15">
        <v>0</v>
      </c>
      <c r="Q15">
        <v>193470</v>
      </c>
      <c r="R15">
        <v>1</v>
      </c>
      <c r="S15" s="15">
        <f t="shared" si="0"/>
        <v>45839</v>
      </c>
    </row>
    <row r="16" spans="1:19">
      <c r="A16" t="s">
        <v>76</v>
      </c>
      <c r="B16" s="2">
        <v>45844</v>
      </c>
      <c r="C16" t="s">
        <v>29</v>
      </c>
      <c r="D16" t="s">
        <v>30</v>
      </c>
      <c r="E16" t="s">
        <v>42</v>
      </c>
      <c r="F16" t="s">
        <v>22</v>
      </c>
      <c r="G16" t="s">
        <v>37</v>
      </c>
      <c r="H16" t="s">
        <v>24</v>
      </c>
      <c r="I16">
        <v>1</v>
      </c>
      <c r="J16">
        <v>64500</v>
      </c>
      <c r="K16">
        <v>0.08</v>
      </c>
      <c r="L16" t="s">
        <v>34</v>
      </c>
      <c r="M16" t="s">
        <v>38</v>
      </c>
      <c r="N16" t="s">
        <v>27</v>
      </c>
      <c r="O16">
        <v>64500</v>
      </c>
      <c r="P16">
        <v>5160</v>
      </c>
      <c r="Q16">
        <v>59340</v>
      </c>
      <c r="R16">
        <v>5</v>
      </c>
      <c r="S16" s="15">
        <f t="shared" si="0"/>
        <v>45839</v>
      </c>
    </row>
    <row r="17" spans="1:19">
      <c r="A17" t="s">
        <v>77</v>
      </c>
      <c r="B17" s="2">
        <v>45844</v>
      </c>
      <c r="C17" t="s">
        <v>29</v>
      </c>
      <c r="D17" t="s">
        <v>78</v>
      </c>
      <c r="E17" t="s">
        <v>21</v>
      </c>
      <c r="F17" t="s">
        <v>22</v>
      </c>
      <c r="G17" t="s">
        <v>58</v>
      </c>
      <c r="H17" t="s">
        <v>59</v>
      </c>
      <c r="I17">
        <v>4</v>
      </c>
      <c r="J17">
        <v>7640</v>
      </c>
      <c r="K17">
        <v>0.05</v>
      </c>
      <c r="L17" t="s">
        <v>68</v>
      </c>
      <c r="M17" t="s">
        <v>38</v>
      </c>
      <c r="N17" t="s">
        <v>27</v>
      </c>
      <c r="O17">
        <v>30560</v>
      </c>
      <c r="P17">
        <v>1528</v>
      </c>
      <c r="Q17">
        <v>29032</v>
      </c>
      <c r="R17">
        <v>2</v>
      </c>
      <c r="S17" s="15">
        <f t="shared" si="0"/>
        <v>45839</v>
      </c>
    </row>
    <row r="18" spans="1:19">
      <c r="A18" t="s">
        <v>79</v>
      </c>
      <c r="B18" s="2">
        <v>45845</v>
      </c>
      <c r="C18" t="s">
        <v>40</v>
      </c>
      <c r="D18" t="s">
        <v>41</v>
      </c>
      <c r="E18" t="s">
        <v>21</v>
      </c>
      <c r="F18" t="s">
        <v>31</v>
      </c>
      <c r="G18" t="s">
        <v>23</v>
      </c>
      <c r="H18" t="s">
        <v>24</v>
      </c>
      <c r="I18">
        <v>4</v>
      </c>
      <c r="J18">
        <v>29300</v>
      </c>
      <c r="K18">
        <v>0.08</v>
      </c>
      <c r="L18" t="s">
        <v>68</v>
      </c>
      <c r="M18" t="s">
        <v>26</v>
      </c>
      <c r="N18" t="s">
        <v>27</v>
      </c>
      <c r="O18">
        <v>117200</v>
      </c>
      <c r="P18">
        <v>9376</v>
      </c>
      <c r="Q18">
        <v>107824</v>
      </c>
      <c r="R18">
        <v>5</v>
      </c>
      <c r="S18" s="15">
        <f t="shared" si="0"/>
        <v>45839</v>
      </c>
    </row>
    <row r="19" spans="1:19">
      <c r="A19" t="s">
        <v>80</v>
      </c>
      <c r="B19" s="2">
        <v>45845</v>
      </c>
      <c r="C19" t="s">
        <v>29</v>
      </c>
      <c r="D19" t="s">
        <v>78</v>
      </c>
      <c r="E19" t="s">
        <v>42</v>
      </c>
      <c r="F19" t="s">
        <v>53</v>
      </c>
      <c r="G19" t="s">
        <v>32</v>
      </c>
      <c r="H19" t="s">
        <v>33</v>
      </c>
      <c r="I19">
        <v>3</v>
      </c>
      <c r="J19">
        <v>2290</v>
      </c>
      <c r="K19">
        <v>0</v>
      </c>
      <c r="L19" t="s">
        <v>64</v>
      </c>
      <c r="M19" t="s">
        <v>50</v>
      </c>
      <c r="N19" t="s">
        <v>27</v>
      </c>
      <c r="O19">
        <v>6870</v>
      </c>
      <c r="P19">
        <v>0</v>
      </c>
      <c r="Q19">
        <v>6870</v>
      </c>
      <c r="R19">
        <v>2</v>
      </c>
      <c r="S19" s="15">
        <f t="shared" si="0"/>
        <v>45839</v>
      </c>
    </row>
    <row r="20" spans="1:19">
      <c r="A20" t="s">
        <v>81</v>
      </c>
      <c r="B20" s="2">
        <v>45846</v>
      </c>
      <c r="C20" t="s">
        <v>82</v>
      </c>
      <c r="D20" t="s">
        <v>83</v>
      </c>
      <c r="E20" t="s">
        <v>21</v>
      </c>
      <c r="F20" t="s">
        <v>53</v>
      </c>
      <c r="G20" t="s">
        <v>37</v>
      </c>
      <c r="H20" t="s">
        <v>24</v>
      </c>
      <c r="I20">
        <v>3</v>
      </c>
      <c r="J20">
        <v>61020</v>
      </c>
      <c r="K20">
        <v>0</v>
      </c>
      <c r="L20" t="s">
        <v>25</v>
      </c>
      <c r="M20" t="s">
        <v>38</v>
      </c>
      <c r="N20" t="s">
        <v>27</v>
      </c>
      <c r="O20">
        <v>183060</v>
      </c>
      <c r="P20">
        <v>0</v>
      </c>
      <c r="Q20">
        <v>183060</v>
      </c>
      <c r="R20">
        <v>4</v>
      </c>
      <c r="S20" s="15">
        <f t="shared" si="0"/>
        <v>45839</v>
      </c>
    </row>
    <row r="21" spans="1:19">
      <c r="A21" t="s">
        <v>84</v>
      </c>
      <c r="B21" s="2">
        <v>45846</v>
      </c>
      <c r="C21" t="s">
        <v>29</v>
      </c>
      <c r="D21" t="s">
        <v>85</v>
      </c>
      <c r="E21" t="s">
        <v>70</v>
      </c>
      <c r="F21" t="s">
        <v>22</v>
      </c>
      <c r="G21" t="s">
        <v>62</v>
      </c>
      <c r="H21" t="s">
        <v>33</v>
      </c>
      <c r="I21">
        <v>1</v>
      </c>
      <c r="J21">
        <v>1880</v>
      </c>
      <c r="K21">
        <v>0.05</v>
      </c>
      <c r="L21" t="s">
        <v>54</v>
      </c>
      <c r="M21" t="s">
        <v>55</v>
      </c>
      <c r="N21" t="s">
        <v>27</v>
      </c>
      <c r="O21">
        <v>1880</v>
      </c>
      <c r="P21">
        <v>94</v>
      </c>
      <c r="Q21">
        <v>1786</v>
      </c>
      <c r="R21">
        <v>3</v>
      </c>
      <c r="S21" s="15">
        <f t="shared" si="0"/>
        <v>45839</v>
      </c>
    </row>
    <row r="22" spans="1:19">
      <c r="A22" t="s">
        <v>86</v>
      </c>
      <c r="B22" s="2">
        <v>45846</v>
      </c>
      <c r="C22" t="s">
        <v>19</v>
      </c>
      <c r="D22" t="s">
        <v>52</v>
      </c>
      <c r="E22" t="s">
        <v>42</v>
      </c>
      <c r="F22" t="s">
        <v>31</v>
      </c>
      <c r="G22" t="s">
        <v>37</v>
      </c>
      <c r="H22" t="s">
        <v>24</v>
      </c>
      <c r="I22">
        <v>4</v>
      </c>
      <c r="J22">
        <v>58490</v>
      </c>
      <c r="K22">
        <v>0.15</v>
      </c>
      <c r="L22" t="s">
        <v>54</v>
      </c>
      <c r="M22" t="s">
        <v>71</v>
      </c>
      <c r="N22" t="s">
        <v>27</v>
      </c>
      <c r="O22">
        <v>233960</v>
      </c>
      <c r="P22">
        <v>35094</v>
      </c>
      <c r="Q22">
        <v>198866</v>
      </c>
      <c r="R22">
        <v>1</v>
      </c>
      <c r="S22" s="15">
        <f t="shared" si="0"/>
        <v>45839</v>
      </c>
    </row>
    <row r="23" spans="1:19">
      <c r="A23" t="s">
        <v>87</v>
      </c>
      <c r="B23" s="2">
        <v>45847</v>
      </c>
      <c r="C23" t="s">
        <v>40</v>
      </c>
      <c r="D23" t="s">
        <v>47</v>
      </c>
      <c r="E23" t="s">
        <v>42</v>
      </c>
      <c r="F23" t="s">
        <v>22</v>
      </c>
      <c r="G23" t="s">
        <v>32</v>
      </c>
      <c r="H23" t="s">
        <v>33</v>
      </c>
      <c r="I23">
        <v>5</v>
      </c>
      <c r="J23">
        <v>2400</v>
      </c>
      <c r="K23">
        <v>0.05</v>
      </c>
      <c r="L23" t="s">
        <v>68</v>
      </c>
      <c r="M23" t="s">
        <v>38</v>
      </c>
      <c r="N23" t="s">
        <v>27</v>
      </c>
      <c r="O23">
        <v>12000</v>
      </c>
      <c r="P23">
        <v>600</v>
      </c>
      <c r="Q23">
        <v>11400</v>
      </c>
      <c r="R23">
        <v>3</v>
      </c>
      <c r="S23" s="15">
        <f t="shared" si="0"/>
        <v>45839</v>
      </c>
    </row>
    <row r="24" spans="1:19">
      <c r="A24" t="s">
        <v>88</v>
      </c>
      <c r="B24" s="2">
        <v>45848</v>
      </c>
      <c r="C24" t="s">
        <v>40</v>
      </c>
      <c r="D24" t="s">
        <v>89</v>
      </c>
      <c r="E24" t="s">
        <v>42</v>
      </c>
      <c r="F24" t="s">
        <v>53</v>
      </c>
      <c r="G24" t="s">
        <v>62</v>
      </c>
      <c r="H24" t="s">
        <v>33</v>
      </c>
      <c r="I24">
        <v>2</v>
      </c>
      <c r="J24">
        <v>1830</v>
      </c>
      <c r="K24">
        <v>0.08</v>
      </c>
      <c r="L24" t="s">
        <v>64</v>
      </c>
      <c r="M24" t="s">
        <v>26</v>
      </c>
      <c r="N24" t="s">
        <v>27</v>
      </c>
      <c r="O24">
        <v>3660</v>
      </c>
      <c r="P24">
        <v>292.8</v>
      </c>
      <c r="Q24">
        <v>3367.2</v>
      </c>
      <c r="R24">
        <v>5</v>
      </c>
      <c r="S24" s="15">
        <f t="shared" si="0"/>
        <v>45839</v>
      </c>
    </row>
    <row r="25" spans="1:19">
      <c r="A25" t="s">
        <v>90</v>
      </c>
      <c r="B25" s="2">
        <v>45848</v>
      </c>
      <c r="C25" t="s">
        <v>19</v>
      </c>
      <c r="D25" t="s">
        <v>20</v>
      </c>
      <c r="E25" t="s">
        <v>21</v>
      </c>
      <c r="F25" t="s">
        <v>31</v>
      </c>
      <c r="G25" t="s">
        <v>32</v>
      </c>
      <c r="H25" t="s">
        <v>33</v>
      </c>
      <c r="I25">
        <v>1</v>
      </c>
      <c r="J25">
        <v>2280</v>
      </c>
      <c r="K25">
        <v>0</v>
      </c>
      <c r="L25" t="s">
        <v>25</v>
      </c>
      <c r="M25" t="s">
        <v>71</v>
      </c>
      <c r="N25" t="s">
        <v>27</v>
      </c>
      <c r="O25">
        <v>2280</v>
      </c>
      <c r="P25">
        <v>0</v>
      </c>
      <c r="Q25">
        <v>2280</v>
      </c>
      <c r="R25">
        <v>3</v>
      </c>
      <c r="S25" s="15">
        <f t="shared" si="0"/>
        <v>45839</v>
      </c>
    </row>
    <row r="26" spans="1:19">
      <c r="A26" t="s">
        <v>91</v>
      </c>
      <c r="B26" s="2">
        <v>45848</v>
      </c>
      <c r="C26" t="s">
        <v>19</v>
      </c>
      <c r="D26" t="s">
        <v>20</v>
      </c>
      <c r="E26" t="s">
        <v>42</v>
      </c>
      <c r="F26" t="s">
        <v>31</v>
      </c>
      <c r="G26" t="s">
        <v>92</v>
      </c>
      <c r="H26" t="s">
        <v>24</v>
      </c>
      <c r="I26">
        <v>4</v>
      </c>
      <c r="J26">
        <v>17330</v>
      </c>
      <c r="K26">
        <v>0.05</v>
      </c>
      <c r="L26" t="s">
        <v>64</v>
      </c>
      <c r="M26" t="s">
        <v>50</v>
      </c>
      <c r="N26" t="s">
        <v>27</v>
      </c>
      <c r="O26">
        <v>69320</v>
      </c>
      <c r="P26">
        <v>3466</v>
      </c>
      <c r="Q26">
        <v>65854</v>
      </c>
      <c r="R26">
        <v>3</v>
      </c>
      <c r="S26" s="15">
        <f t="shared" si="0"/>
        <v>45839</v>
      </c>
    </row>
    <row r="27" spans="1:19">
      <c r="A27" t="s">
        <v>93</v>
      </c>
      <c r="B27" s="2">
        <v>45849</v>
      </c>
      <c r="C27" t="s">
        <v>40</v>
      </c>
      <c r="D27" t="s">
        <v>89</v>
      </c>
      <c r="E27" t="s">
        <v>21</v>
      </c>
      <c r="F27" t="s">
        <v>31</v>
      </c>
      <c r="G27" t="s">
        <v>48</v>
      </c>
      <c r="H27" t="s">
        <v>49</v>
      </c>
      <c r="I27">
        <v>5</v>
      </c>
      <c r="J27">
        <v>11680</v>
      </c>
      <c r="K27">
        <v>0.08</v>
      </c>
      <c r="L27" t="s">
        <v>54</v>
      </c>
      <c r="M27" t="s">
        <v>50</v>
      </c>
      <c r="N27" t="s">
        <v>27</v>
      </c>
      <c r="O27">
        <v>58400</v>
      </c>
      <c r="P27">
        <v>4672</v>
      </c>
      <c r="Q27">
        <v>53728</v>
      </c>
      <c r="R27">
        <v>2</v>
      </c>
      <c r="S27" s="15">
        <f t="shared" si="0"/>
        <v>45839</v>
      </c>
    </row>
    <row r="28" spans="1:19">
      <c r="A28" t="s">
        <v>94</v>
      </c>
      <c r="B28" s="2">
        <v>45849</v>
      </c>
      <c r="C28" t="s">
        <v>40</v>
      </c>
      <c r="D28" t="s">
        <v>47</v>
      </c>
      <c r="E28" t="s">
        <v>21</v>
      </c>
      <c r="F28" t="s">
        <v>31</v>
      </c>
      <c r="G28" t="s">
        <v>95</v>
      </c>
      <c r="H28" t="s">
        <v>24</v>
      </c>
      <c r="I28">
        <v>2</v>
      </c>
      <c r="J28">
        <v>21260</v>
      </c>
      <c r="K28">
        <v>0.05</v>
      </c>
      <c r="L28" t="s">
        <v>64</v>
      </c>
      <c r="M28" t="s">
        <v>35</v>
      </c>
      <c r="N28" t="s">
        <v>27</v>
      </c>
      <c r="O28">
        <v>42520</v>
      </c>
      <c r="P28">
        <v>2126</v>
      </c>
      <c r="Q28">
        <v>40394</v>
      </c>
      <c r="R28">
        <v>5</v>
      </c>
      <c r="S28" s="15">
        <f t="shared" si="0"/>
        <v>45839</v>
      </c>
    </row>
    <row r="29" spans="1:19">
      <c r="A29" t="s">
        <v>96</v>
      </c>
      <c r="B29" s="2">
        <v>45849</v>
      </c>
      <c r="C29" t="s">
        <v>19</v>
      </c>
      <c r="D29" t="s">
        <v>52</v>
      </c>
      <c r="E29" t="s">
        <v>42</v>
      </c>
      <c r="F29" t="s">
        <v>53</v>
      </c>
      <c r="G29" t="s">
        <v>23</v>
      </c>
      <c r="H29" t="s">
        <v>24</v>
      </c>
      <c r="I29">
        <v>2</v>
      </c>
      <c r="J29">
        <v>26450</v>
      </c>
      <c r="K29">
        <v>0.08</v>
      </c>
      <c r="L29" t="s">
        <v>54</v>
      </c>
      <c r="M29" t="s">
        <v>55</v>
      </c>
      <c r="N29" t="s">
        <v>27</v>
      </c>
      <c r="O29">
        <v>52900</v>
      </c>
      <c r="P29">
        <v>4232</v>
      </c>
      <c r="Q29">
        <v>48668</v>
      </c>
      <c r="R29">
        <v>6</v>
      </c>
      <c r="S29" s="15">
        <f t="shared" si="0"/>
        <v>45839</v>
      </c>
    </row>
    <row r="30" spans="1:19">
      <c r="A30" t="s">
        <v>97</v>
      </c>
      <c r="B30" s="2">
        <v>45852</v>
      </c>
      <c r="C30" t="s">
        <v>29</v>
      </c>
      <c r="D30" t="s">
        <v>78</v>
      </c>
      <c r="E30" t="s">
        <v>42</v>
      </c>
      <c r="F30" t="s">
        <v>22</v>
      </c>
      <c r="G30" t="s">
        <v>92</v>
      </c>
      <c r="H30" t="s">
        <v>24</v>
      </c>
      <c r="I30">
        <v>1</v>
      </c>
      <c r="J30">
        <v>17610</v>
      </c>
      <c r="K30">
        <v>0</v>
      </c>
      <c r="L30" t="s">
        <v>68</v>
      </c>
      <c r="M30" t="s">
        <v>44</v>
      </c>
      <c r="N30" t="s">
        <v>27</v>
      </c>
      <c r="O30">
        <v>17610</v>
      </c>
      <c r="P30">
        <v>0</v>
      </c>
      <c r="Q30">
        <v>17610</v>
      </c>
      <c r="R30">
        <v>2</v>
      </c>
      <c r="S30" s="15">
        <f t="shared" si="0"/>
        <v>45839</v>
      </c>
    </row>
    <row r="31" spans="1:19">
      <c r="A31" t="s">
        <v>98</v>
      </c>
      <c r="B31" s="2">
        <v>45852</v>
      </c>
      <c r="C31" t="s">
        <v>19</v>
      </c>
      <c r="D31" t="s">
        <v>20</v>
      </c>
      <c r="E31" t="s">
        <v>42</v>
      </c>
      <c r="F31" t="s">
        <v>31</v>
      </c>
      <c r="G31" t="s">
        <v>62</v>
      </c>
      <c r="H31" t="s">
        <v>33</v>
      </c>
      <c r="I31">
        <v>2</v>
      </c>
      <c r="J31">
        <v>1890</v>
      </c>
      <c r="K31">
        <v>0.05</v>
      </c>
      <c r="L31" t="s">
        <v>54</v>
      </c>
      <c r="M31" t="s">
        <v>66</v>
      </c>
      <c r="N31" t="s">
        <v>27</v>
      </c>
      <c r="O31">
        <v>3780</v>
      </c>
      <c r="P31">
        <v>189</v>
      </c>
      <c r="Q31">
        <v>3591</v>
      </c>
      <c r="R31">
        <v>3</v>
      </c>
      <c r="S31" s="15">
        <f t="shared" si="0"/>
        <v>45839</v>
      </c>
    </row>
    <row r="32" spans="1:19">
      <c r="A32" t="s">
        <v>99</v>
      </c>
      <c r="B32" s="2">
        <v>45853</v>
      </c>
      <c r="C32" t="s">
        <v>19</v>
      </c>
      <c r="D32" t="s">
        <v>52</v>
      </c>
      <c r="E32" t="s">
        <v>21</v>
      </c>
      <c r="F32" t="s">
        <v>31</v>
      </c>
      <c r="G32" t="s">
        <v>23</v>
      </c>
      <c r="H32" t="s">
        <v>24</v>
      </c>
      <c r="I32">
        <v>1</v>
      </c>
      <c r="J32">
        <v>27790</v>
      </c>
      <c r="K32">
        <v>0</v>
      </c>
      <c r="L32" t="s">
        <v>64</v>
      </c>
      <c r="M32" t="s">
        <v>71</v>
      </c>
      <c r="N32" t="s">
        <v>27</v>
      </c>
      <c r="O32">
        <v>27790</v>
      </c>
      <c r="P32">
        <v>0</v>
      </c>
      <c r="Q32">
        <v>27790</v>
      </c>
      <c r="R32">
        <v>2</v>
      </c>
      <c r="S32" s="15">
        <f t="shared" si="0"/>
        <v>45839</v>
      </c>
    </row>
    <row r="33" spans="1:19">
      <c r="A33" t="s">
        <v>100</v>
      </c>
      <c r="B33" s="2">
        <v>45853</v>
      </c>
      <c r="C33" t="s">
        <v>82</v>
      </c>
      <c r="D33" t="s">
        <v>83</v>
      </c>
      <c r="E33" t="s">
        <v>21</v>
      </c>
      <c r="F33" t="s">
        <v>31</v>
      </c>
      <c r="G33" t="s">
        <v>101</v>
      </c>
      <c r="H33" t="s">
        <v>33</v>
      </c>
      <c r="I33">
        <v>1</v>
      </c>
      <c r="J33">
        <v>1920</v>
      </c>
      <c r="K33">
        <v>0.08</v>
      </c>
      <c r="L33" t="s">
        <v>68</v>
      </c>
      <c r="M33" t="s">
        <v>26</v>
      </c>
      <c r="N33" t="s">
        <v>27</v>
      </c>
      <c r="O33">
        <v>1920</v>
      </c>
      <c r="P33">
        <v>153.6</v>
      </c>
      <c r="Q33">
        <v>1766.4</v>
      </c>
      <c r="R33">
        <v>2</v>
      </c>
      <c r="S33" s="15">
        <f t="shared" si="0"/>
        <v>45839</v>
      </c>
    </row>
    <row r="34" spans="1:19">
      <c r="A34" t="s">
        <v>102</v>
      </c>
      <c r="B34" s="2">
        <v>45853</v>
      </c>
      <c r="C34" t="s">
        <v>19</v>
      </c>
      <c r="D34" t="s">
        <v>103</v>
      </c>
      <c r="E34" t="s">
        <v>21</v>
      </c>
      <c r="F34" t="s">
        <v>31</v>
      </c>
      <c r="G34" t="s">
        <v>62</v>
      </c>
      <c r="H34" t="s">
        <v>33</v>
      </c>
      <c r="I34">
        <v>2</v>
      </c>
      <c r="J34">
        <v>1700</v>
      </c>
      <c r="K34">
        <v>0</v>
      </c>
      <c r="L34" t="s">
        <v>64</v>
      </c>
      <c r="M34" t="s">
        <v>66</v>
      </c>
      <c r="N34" t="s">
        <v>27</v>
      </c>
      <c r="O34">
        <v>3400</v>
      </c>
      <c r="P34">
        <v>0</v>
      </c>
      <c r="Q34">
        <v>3400</v>
      </c>
      <c r="R34">
        <v>1</v>
      </c>
      <c r="S34" s="15">
        <f t="shared" si="0"/>
        <v>45839</v>
      </c>
    </row>
    <row r="35" spans="1:19">
      <c r="A35" t="s">
        <v>104</v>
      </c>
      <c r="B35" s="2">
        <v>45853</v>
      </c>
      <c r="C35" t="s">
        <v>82</v>
      </c>
      <c r="D35" t="s">
        <v>83</v>
      </c>
      <c r="E35" t="s">
        <v>42</v>
      </c>
      <c r="F35" t="s">
        <v>22</v>
      </c>
      <c r="G35" t="s">
        <v>105</v>
      </c>
      <c r="H35" t="s">
        <v>24</v>
      </c>
      <c r="I35">
        <v>1</v>
      </c>
      <c r="J35">
        <v>3230</v>
      </c>
      <c r="K35">
        <v>0.05</v>
      </c>
      <c r="L35" t="s">
        <v>64</v>
      </c>
      <c r="M35" t="s">
        <v>66</v>
      </c>
      <c r="N35" t="s">
        <v>27</v>
      </c>
      <c r="O35">
        <v>3230</v>
      </c>
      <c r="P35">
        <v>161.5</v>
      </c>
      <c r="Q35">
        <v>3068.5</v>
      </c>
      <c r="R35">
        <v>4</v>
      </c>
      <c r="S35" s="15">
        <f t="shared" si="0"/>
        <v>45839</v>
      </c>
    </row>
    <row r="36" spans="1:19">
      <c r="A36" t="s">
        <v>106</v>
      </c>
      <c r="B36" s="2">
        <v>45853</v>
      </c>
      <c r="C36" t="s">
        <v>40</v>
      </c>
      <c r="D36" t="s">
        <v>47</v>
      </c>
      <c r="E36" t="s">
        <v>42</v>
      </c>
      <c r="F36" t="s">
        <v>31</v>
      </c>
      <c r="G36" t="s">
        <v>101</v>
      </c>
      <c r="H36" t="s">
        <v>33</v>
      </c>
      <c r="I36">
        <v>3</v>
      </c>
      <c r="J36">
        <v>1900</v>
      </c>
      <c r="K36">
        <v>0.05</v>
      </c>
      <c r="L36" t="s">
        <v>54</v>
      </c>
      <c r="M36" t="s">
        <v>71</v>
      </c>
      <c r="N36" t="s">
        <v>27</v>
      </c>
      <c r="O36">
        <v>5700</v>
      </c>
      <c r="P36">
        <v>285</v>
      </c>
      <c r="Q36">
        <v>5415</v>
      </c>
      <c r="R36">
        <v>4</v>
      </c>
      <c r="S36" s="15">
        <f t="shared" si="0"/>
        <v>45839</v>
      </c>
    </row>
    <row r="37" spans="1:19">
      <c r="A37" t="s">
        <v>107</v>
      </c>
      <c r="B37" s="2">
        <v>45854</v>
      </c>
      <c r="C37" t="s">
        <v>82</v>
      </c>
      <c r="D37" t="s">
        <v>83</v>
      </c>
      <c r="E37" t="s">
        <v>21</v>
      </c>
      <c r="F37" t="s">
        <v>22</v>
      </c>
      <c r="G37" t="s">
        <v>62</v>
      </c>
      <c r="H37" t="s">
        <v>33</v>
      </c>
      <c r="I37">
        <v>3</v>
      </c>
      <c r="J37">
        <v>1700</v>
      </c>
      <c r="K37">
        <v>0.08</v>
      </c>
      <c r="L37" t="s">
        <v>64</v>
      </c>
      <c r="M37" t="s">
        <v>55</v>
      </c>
      <c r="N37" t="s">
        <v>27</v>
      </c>
      <c r="O37">
        <v>5100</v>
      </c>
      <c r="P37">
        <v>408</v>
      </c>
      <c r="Q37">
        <v>4692</v>
      </c>
      <c r="R37">
        <v>3</v>
      </c>
      <c r="S37" s="15">
        <f t="shared" si="0"/>
        <v>45839</v>
      </c>
    </row>
    <row r="38" spans="1:19">
      <c r="A38" t="s">
        <v>108</v>
      </c>
      <c r="B38" s="2">
        <v>45856</v>
      </c>
      <c r="C38" t="s">
        <v>40</v>
      </c>
      <c r="D38" t="s">
        <v>47</v>
      </c>
      <c r="E38" t="s">
        <v>42</v>
      </c>
      <c r="F38" t="s">
        <v>22</v>
      </c>
      <c r="G38" t="s">
        <v>23</v>
      </c>
      <c r="H38" t="s">
        <v>24</v>
      </c>
      <c r="I38">
        <v>3</v>
      </c>
      <c r="J38">
        <v>27680</v>
      </c>
      <c r="K38">
        <v>0.03</v>
      </c>
      <c r="L38" t="s">
        <v>25</v>
      </c>
      <c r="M38" t="s">
        <v>55</v>
      </c>
      <c r="N38" t="s">
        <v>27</v>
      </c>
      <c r="O38">
        <v>83040</v>
      </c>
      <c r="P38">
        <v>2491.1999999999998</v>
      </c>
      <c r="Q38">
        <v>80548.800000000003</v>
      </c>
      <c r="R38">
        <v>3</v>
      </c>
      <c r="S38" s="15">
        <f t="shared" si="0"/>
        <v>45839</v>
      </c>
    </row>
    <row r="39" spans="1:19">
      <c r="A39" t="s">
        <v>109</v>
      </c>
      <c r="B39" s="2">
        <v>45856</v>
      </c>
      <c r="C39" t="s">
        <v>29</v>
      </c>
      <c r="D39" t="s">
        <v>30</v>
      </c>
      <c r="E39" t="s">
        <v>42</v>
      </c>
      <c r="F39" t="s">
        <v>22</v>
      </c>
      <c r="G39" t="s">
        <v>92</v>
      </c>
      <c r="H39" t="s">
        <v>24</v>
      </c>
      <c r="I39">
        <v>1</v>
      </c>
      <c r="J39">
        <v>17320</v>
      </c>
      <c r="K39">
        <v>0.05</v>
      </c>
      <c r="L39" t="s">
        <v>68</v>
      </c>
      <c r="M39" t="s">
        <v>66</v>
      </c>
      <c r="N39" t="s">
        <v>27</v>
      </c>
      <c r="O39">
        <v>17320</v>
      </c>
      <c r="P39">
        <v>866</v>
      </c>
      <c r="Q39">
        <v>16454</v>
      </c>
      <c r="R39">
        <v>1</v>
      </c>
      <c r="S39" s="15">
        <f t="shared" si="0"/>
        <v>45839</v>
      </c>
    </row>
    <row r="40" spans="1:19">
      <c r="A40" t="s">
        <v>110</v>
      </c>
      <c r="B40" s="2">
        <v>45856</v>
      </c>
      <c r="C40" t="s">
        <v>82</v>
      </c>
      <c r="D40" t="s">
        <v>83</v>
      </c>
      <c r="E40" t="s">
        <v>21</v>
      </c>
      <c r="F40" t="s">
        <v>53</v>
      </c>
      <c r="G40" t="s">
        <v>32</v>
      </c>
      <c r="H40" t="s">
        <v>33</v>
      </c>
      <c r="I40">
        <v>1</v>
      </c>
      <c r="J40">
        <v>2280</v>
      </c>
      <c r="K40">
        <v>0</v>
      </c>
      <c r="L40" t="s">
        <v>64</v>
      </c>
      <c r="M40" t="s">
        <v>26</v>
      </c>
      <c r="N40" t="s">
        <v>27</v>
      </c>
      <c r="O40">
        <v>2280</v>
      </c>
      <c r="P40">
        <v>0</v>
      </c>
      <c r="Q40">
        <v>2280</v>
      </c>
      <c r="R40">
        <v>6</v>
      </c>
      <c r="S40" s="15">
        <f t="shared" si="0"/>
        <v>45839</v>
      </c>
    </row>
    <row r="41" spans="1:19">
      <c r="A41" t="s">
        <v>111</v>
      </c>
      <c r="B41" s="2">
        <v>45859</v>
      </c>
      <c r="C41" t="s">
        <v>40</v>
      </c>
      <c r="D41" t="s">
        <v>89</v>
      </c>
      <c r="E41" t="s">
        <v>70</v>
      </c>
      <c r="F41" t="s">
        <v>31</v>
      </c>
      <c r="G41" t="s">
        <v>23</v>
      </c>
      <c r="H41" t="s">
        <v>24</v>
      </c>
      <c r="I41">
        <v>2</v>
      </c>
      <c r="J41">
        <v>26540</v>
      </c>
      <c r="K41">
        <v>0.03</v>
      </c>
      <c r="L41" t="s">
        <v>54</v>
      </c>
      <c r="M41" t="s">
        <v>55</v>
      </c>
      <c r="N41" t="s">
        <v>27</v>
      </c>
      <c r="O41">
        <v>53080</v>
      </c>
      <c r="P41">
        <v>1592.4</v>
      </c>
      <c r="Q41">
        <v>51487.6</v>
      </c>
      <c r="R41">
        <v>3</v>
      </c>
      <c r="S41" s="15">
        <f t="shared" si="0"/>
        <v>45839</v>
      </c>
    </row>
    <row r="42" spans="1:19">
      <c r="A42" t="s">
        <v>112</v>
      </c>
      <c r="B42" s="2">
        <v>45859</v>
      </c>
      <c r="C42" t="s">
        <v>29</v>
      </c>
      <c r="D42" t="s">
        <v>30</v>
      </c>
      <c r="E42" t="s">
        <v>70</v>
      </c>
      <c r="F42" t="s">
        <v>22</v>
      </c>
      <c r="G42" t="s">
        <v>37</v>
      </c>
      <c r="H42" t="s">
        <v>24</v>
      </c>
      <c r="I42">
        <v>1</v>
      </c>
      <c r="J42">
        <v>61320</v>
      </c>
      <c r="K42">
        <v>0.15</v>
      </c>
      <c r="L42" t="s">
        <v>68</v>
      </c>
      <c r="M42" t="s">
        <v>50</v>
      </c>
      <c r="N42" t="s">
        <v>27</v>
      </c>
      <c r="O42">
        <v>61320</v>
      </c>
      <c r="P42">
        <v>9198</v>
      </c>
      <c r="Q42">
        <v>52122</v>
      </c>
      <c r="R42">
        <v>7</v>
      </c>
      <c r="S42" s="15">
        <f t="shared" si="0"/>
        <v>45839</v>
      </c>
    </row>
    <row r="43" spans="1:19">
      <c r="A43" t="s">
        <v>113</v>
      </c>
      <c r="B43" s="2">
        <v>45861</v>
      </c>
      <c r="C43" t="s">
        <v>19</v>
      </c>
      <c r="D43" t="s">
        <v>57</v>
      </c>
      <c r="E43" t="s">
        <v>70</v>
      </c>
      <c r="F43" t="s">
        <v>22</v>
      </c>
      <c r="G43" t="s">
        <v>62</v>
      </c>
      <c r="H43" t="s">
        <v>33</v>
      </c>
      <c r="I43">
        <v>1</v>
      </c>
      <c r="J43">
        <v>1740</v>
      </c>
      <c r="K43">
        <v>0.08</v>
      </c>
      <c r="L43" t="s">
        <v>34</v>
      </c>
      <c r="M43" t="s">
        <v>50</v>
      </c>
      <c r="N43" t="s">
        <v>27</v>
      </c>
      <c r="O43">
        <v>1740</v>
      </c>
      <c r="P43">
        <v>139.19999999999999</v>
      </c>
      <c r="Q43">
        <v>1600.8</v>
      </c>
      <c r="R43">
        <v>3</v>
      </c>
      <c r="S43" s="15">
        <f t="shared" si="0"/>
        <v>45839</v>
      </c>
    </row>
    <row r="44" spans="1:19">
      <c r="A44" t="s">
        <v>114</v>
      </c>
      <c r="B44" s="2">
        <v>45861</v>
      </c>
      <c r="C44" t="s">
        <v>40</v>
      </c>
      <c r="D44" t="s">
        <v>115</v>
      </c>
      <c r="E44" t="s">
        <v>70</v>
      </c>
      <c r="F44" t="s">
        <v>22</v>
      </c>
      <c r="G44" t="s">
        <v>105</v>
      </c>
      <c r="H44" t="s">
        <v>24</v>
      </c>
      <c r="I44">
        <v>1</v>
      </c>
      <c r="J44">
        <v>3170</v>
      </c>
      <c r="K44">
        <v>0</v>
      </c>
      <c r="L44" t="s">
        <v>64</v>
      </c>
      <c r="M44" t="s">
        <v>38</v>
      </c>
      <c r="N44" t="s">
        <v>45</v>
      </c>
      <c r="O44">
        <v>0</v>
      </c>
      <c r="P44">
        <v>0</v>
      </c>
      <c r="Q44">
        <v>0</v>
      </c>
      <c r="S44" s="15">
        <f t="shared" si="0"/>
        <v>45839</v>
      </c>
    </row>
    <row r="45" spans="1:19">
      <c r="A45" t="s">
        <v>116</v>
      </c>
      <c r="B45" s="2">
        <v>45861</v>
      </c>
      <c r="C45" t="s">
        <v>29</v>
      </c>
      <c r="D45" t="s">
        <v>78</v>
      </c>
      <c r="E45" t="s">
        <v>21</v>
      </c>
      <c r="F45" t="s">
        <v>22</v>
      </c>
      <c r="G45" t="s">
        <v>43</v>
      </c>
      <c r="H45" t="s">
        <v>33</v>
      </c>
      <c r="I45">
        <v>2</v>
      </c>
      <c r="J45">
        <v>880</v>
      </c>
      <c r="K45">
        <v>0.08</v>
      </c>
      <c r="L45" t="s">
        <v>68</v>
      </c>
      <c r="M45" t="s">
        <v>26</v>
      </c>
      <c r="N45" t="s">
        <v>27</v>
      </c>
      <c r="O45">
        <v>1760</v>
      </c>
      <c r="P45">
        <v>140.80000000000001</v>
      </c>
      <c r="Q45">
        <v>1619.2</v>
      </c>
      <c r="R45">
        <v>1</v>
      </c>
      <c r="S45" s="15">
        <f t="shared" si="0"/>
        <v>45839</v>
      </c>
    </row>
    <row r="46" spans="1:19">
      <c r="A46" t="s">
        <v>117</v>
      </c>
      <c r="B46" s="2">
        <v>45861</v>
      </c>
      <c r="C46" t="s">
        <v>40</v>
      </c>
      <c r="D46" t="s">
        <v>47</v>
      </c>
      <c r="E46" t="s">
        <v>70</v>
      </c>
      <c r="F46" t="s">
        <v>53</v>
      </c>
      <c r="G46" t="s">
        <v>92</v>
      </c>
      <c r="H46" t="s">
        <v>24</v>
      </c>
      <c r="I46">
        <v>1</v>
      </c>
      <c r="J46">
        <v>17400</v>
      </c>
      <c r="K46">
        <v>0.05</v>
      </c>
      <c r="L46" t="s">
        <v>64</v>
      </c>
      <c r="M46" t="s">
        <v>55</v>
      </c>
      <c r="N46" t="s">
        <v>27</v>
      </c>
      <c r="O46">
        <v>17400</v>
      </c>
      <c r="P46">
        <v>870</v>
      </c>
      <c r="Q46">
        <v>16530</v>
      </c>
      <c r="R46">
        <v>3</v>
      </c>
      <c r="S46" s="15">
        <f t="shared" si="0"/>
        <v>45839</v>
      </c>
    </row>
    <row r="47" spans="1:19">
      <c r="A47" t="s">
        <v>118</v>
      </c>
      <c r="B47" s="2">
        <v>45863</v>
      </c>
      <c r="C47" t="s">
        <v>29</v>
      </c>
      <c r="D47" t="s">
        <v>61</v>
      </c>
      <c r="E47" t="s">
        <v>42</v>
      </c>
      <c r="F47" t="s">
        <v>22</v>
      </c>
      <c r="G47" t="s">
        <v>105</v>
      </c>
      <c r="H47" t="s">
        <v>24</v>
      </c>
      <c r="I47">
        <v>1</v>
      </c>
      <c r="J47">
        <v>3030</v>
      </c>
      <c r="K47">
        <v>0.03</v>
      </c>
      <c r="L47" t="s">
        <v>34</v>
      </c>
      <c r="M47" t="s">
        <v>35</v>
      </c>
      <c r="N47" t="s">
        <v>27</v>
      </c>
      <c r="O47">
        <v>3030</v>
      </c>
      <c r="P47">
        <v>90.9</v>
      </c>
      <c r="Q47">
        <v>2939.1</v>
      </c>
      <c r="R47">
        <v>5</v>
      </c>
      <c r="S47" s="15">
        <f t="shared" si="0"/>
        <v>45839</v>
      </c>
    </row>
    <row r="48" spans="1:19">
      <c r="A48" t="s">
        <v>119</v>
      </c>
      <c r="B48" s="2">
        <v>45863</v>
      </c>
      <c r="C48" t="s">
        <v>40</v>
      </c>
      <c r="D48" t="s">
        <v>115</v>
      </c>
      <c r="E48" t="s">
        <v>70</v>
      </c>
      <c r="F48" t="s">
        <v>31</v>
      </c>
      <c r="G48" t="s">
        <v>105</v>
      </c>
      <c r="H48" t="s">
        <v>24</v>
      </c>
      <c r="I48">
        <v>2</v>
      </c>
      <c r="J48">
        <v>3140</v>
      </c>
      <c r="K48">
        <v>0.1</v>
      </c>
      <c r="L48" t="s">
        <v>54</v>
      </c>
      <c r="M48" t="s">
        <v>55</v>
      </c>
      <c r="N48" t="s">
        <v>27</v>
      </c>
      <c r="O48">
        <v>6280</v>
      </c>
      <c r="P48">
        <v>628</v>
      </c>
      <c r="Q48">
        <v>5652</v>
      </c>
      <c r="R48">
        <v>2</v>
      </c>
      <c r="S48" s="15">
        <f t="shared" si="0"/>
        <v>45839</v>
      </c>
    </row>
    <row r="49" spans="1:19">
      <c r="A49" t="s">
        <v>120</v>
      </c>
      <c r="B49" s="2">
        <v>45863</v>
      </c>
      <c r="C49" t="s">
        <v>29</v>
      </c>
      <c r="D49" t="s">
        <v>85</v>
      </c>
      <c r="E49" t="s">
        <v>70</v>
      </c>
      <c r="F49" t="s">
        <v>22</v>
      </c>
      <c r="G49" t="s">
        <v>37</v>
      </c>
      <c r="H49" t="s">
        <v>24</v>
      </c>
      <c r="I49">
        <v>2</v>
      </c>
      <c r="J49">
        <v>60000</v>
      </c>
      <c r="K49">
        <v>0.03</v>
      </c>
      <c r="L49" t="s">
        <v>64</v>
      </c>
      <c r="M49" t="s">
        <v>50</v>
      </c>
      <c r="N49" t="s">
        <v>27</v>
      </c>
      <c r="O49">
        <v>120000</v>
      </c>
      <c r="P49">
        <v>3600</v>
      </c>
      <c r="Q49">
        <v>116400</v>
      </c>
      <c r="R49">
        <v>2</v>
      </c>
      <c r="S49" s="15">
        <f t="shared" si="0"/>
        <v>45839</v>
      </c>
    </row>
    <row r="50" spans="1:19">
      <c r="A50" t="s">
        <v>121</v>
      </c>
      <c r="B50" s="2">
        <v>45863</v>
      </c>
      <c r="C50" t="s">
        <v>82</v>
      </c>
      <c r="D50" t="s">
        <v>122</v>
      </c>
      <c r="E50" t="s">
        <v>21</v>
      </c>
      <c r="F50" t="s">
        <v>53</v>
      </c>
      <c r="G50" t="s">
        <v>37</v>
      </c>
      <c r="H50" t="s">
        <v>24</v>
      </c>
      <c r="I50">
        <v>1</v>
      </c>
      <c r="J50">
        <v>59470</v>
      </c>
      <c r="K50">
        <v>0.08</v>
      </c>
      <c r="L50" t="s">
        <v>54</v>
      </c>
      <c r="M50" t="s">
        <v>55</v>
      </c>
      <c r="N50" t="s">
        <v>27</v>
      </c>
      <c r="O50">
        <v>59470</v>
      </c>
      <c r="P50">
        <v>4757.6000000000004</v>
      </c>
      <c r="Q50">
        <v>54712.4</v>
      </c>
      <c r="R50">
        <v>1</v>
      </c>
      <c r="S50" s="15">
        <f t="shared" si="0"/>
        <v>45839</v>
      </c>
    </row>
    <row r="51" spans="1:19">
      <c r="A51" t="s">
        <v>123</v>
      </c>
      <c r="B51" s="2">
        <v>45865</v>
      </c>
      <c r="C51" t="s">
        <v>19</v>
      </c>
      <c r="D51" t="s">
        <v>57</v>
      </c>
      <c r="E51" t="s">
        <v>42</v>
      </c>
      <c r="F51" t="s">
        <v>31</v>
      </c>
      <c r="G51" t="s">
        <v>37</v>
      </c>
      <c r="H51" t="s">
        <v>24</v>
      </c>
      <c r="I51">
        <v>1</v>
      </c>
      <c r="J51">
        <v>65160</v>
      </c>
      <c r="K51">
        <v>0</v>
      </c>
      <c r="L51" t="s">
        <v>68</v>
      </c>
      <c r="M51" t="s">
        <v>66</v>
      </c>
      <c r="N51" t="s">
        <v>27</v>
      </c>
      <c r="O51">
        <v>65160</v>
      </c>
      <c r="P51">
        <v>0</v>
      </c>
      <c r="Q51">
        <v>65160</v>
      </c>
      <c r="R51">
        <v>2</v>
      </c>
      <c r="S51" s="15">
        <f t="shared" si="0"/>
        <v>45839</v>
      </c>
    </row>
    <row r="52" spans="1:19">
      <c r="A52" t="s">
        <v>124</v>
      </c>
      <c r="B52" s="2">
        <v>45865</v>
      </c>
      <c r="C52" t="s">
        <v>40</v>
      </c>
      <c r="D52" t="s">
        <v>41</v>
      </c>
      <c r="E52" t="s">
        <v>42</v>
      </c>
      <c r="F52" t="s">
        <v>31</v>
      </c>
      <c r="G52" t="s">
        <v>48</v>
      </c>
      <c r="H52" t="s">
        <v>49</v>
      </c>
      <c r="I52">
        <v>1</v>
      </c>
      <c r="J52">
        <v>13060</v>
      </c>
      <c r="K52">
        <v>0.08</v>
      </c>
      <c r="L52" t="s">
        <v>64</v>
      </c>
      <c r="M52" t="s">
        <v>44</v>
      </c>
      <c r="N52" t="s">
        <v>27</v>
      </c>
      <c r="O52">
        <v>13060</v>
      </c>
      <c r="P52">
        <v>1044.8</v>
      </c>
      <c r="Q52">
        <v>12015.2</v>
      </c>
      <c r="R52">
        <v>4</v>
      </c>
      <c r="S52" s="15">
        <f t="shared" si="0"/>
        <v>45839</v>
      </c>
    </row>
    <row r="53" spans="1:19">
      <c r="A53" t="s">
        <v>125</v>
      </c>
      <c r="B53" s="2">
        <v>45865</v>
      </c>
      <c r="C53" t="s">
        <v>19</v>
      </c>
      <c r="D53" t="s">
        <v>20</v>
      </c>
      <c r="E53" t="s">
        <v>42</v>
      </c>
      <c r="F53" t="s">
        <v>22</v>
      </c>
      <c r="G53" t="s">
        <v>101</v>
      </c>
      <c r="H53" t="s">
        <v>33</v>
      </c>
      <c r="I53">
        <v>2</v>
      </c>
      <c r="J53">
        <v>1680</v>
      </c>
      <c r="K53">
        <v>0.03</v>
      </c>
      <c r="L53" t="s">
        <v>64</v>
      </c>
      <c r="M53" t="s">
        <v>38</v>
      </c>
      <c r="N53" t="s">
        <v>27</v>
      </c>
      <c r="O53">
        <v>3360</v>
      </c>
      <c r="P53">
        <v>100.8</v>
      </c>
      <c r="Q53">
        <v>3259.2</v>
      </c>
      <c r="R53">
        <v>4</v>
      </c>
      <c r="S53" s="15">
        <f t="shared" si="0"/>
        <v>45839</v>
      </c>
    </row>
    <row r="54" spans="1:19">
      <c r="A54" t="s">
        <v>126</v>
      </c>
      <c r="B54" s="2">
        <v>45866</v>
      </c>
      <c r="C54" t="s">
        <v>40</v>
      </c>
      <c r="D54" t="s">
        <v>89</v>
      </c>
      <c r="E54" t="s">
        <v>21</v>
      </c>
      <c r="F54" t="s">
        <v>22</v>
      </c>
      <c r="G54" t="s">
        <v>37</v>
      </c>
      <c r="H54" t="s">
        <v>24</v>
      </c>
      <c r="I54">
        <v>3</v>
      </c>
      <c r="J54">
        <v>65510</v>
      </c>
      <c r="K54">
        <v>0.08</v>
      </c>
      <c r="L54" t="s">
        <v>68</v>
      </c>
      <c r="M54" t="s">
        <v>71</v>
      </c>
      <c r="N54" t="s">
        <v>27</v>
      </c>
      <c r="O54">
        <v>196530</v>
      </c>
      <c r="P54">
        <v>15722.4</v>
      </c>
      <c r="Q54">
        <v>180807.6</v>
      </c>
      <c r="R54">
        <v>3</v>
      </c>
      <c r="S54" s="15">
        <f t="shared" si="0"/>
        <v>45839</v>
      </c>
    </row>
    <row r="55" spans="1:19">
      <c r="A55" t="s">
        <v>127</v>
      </c>
      <c r="B55" s="2">
        <v>45866</v>
      </c>
      <c r="C55" t="s">
        <v>29</v>
      </c>
      <c r="D55" t="s">
        <v>30</v>
      </c>
      <c r="E55" t="s">
        <v>42</v>
      </c>
      <c r="F55" t="s">
        <v>31</v>
      </c>
      <c r="G55" t="s">
        <v>105</v>
      </c>
      <c r="H55" t="s">
        <v>24</v>
      </c>
      <c r="I55">
        <v>5</v>
      </c>
      <c r="J55">
        <v>3320</v>
      </c>
      <c r="K55">
        <v>0.05</v>
      </c>
      <c r="L55" t="s">
        <v>64</v>
      </c>
      <c r="M55" t="s">
        <v>38</v>
      </c>
      <c r="N55" t="s">
        <v>27</v>
      </c>
      <c r="O55">
        <v>16600</v>
      </c>
      <c r="P55">
        <v>830</v>
      </c>
      <c r="Q55">
        <v>15770</v>
      </c>
      <c r="R55">
        <v>3</v>
      </c>
      <c r="S55" s="15">
        <f t="shared" si="0"/>
        <v>45839</v>
      </c>
    </row>
    <row r="56" spans="1:19">
      <c r="A56" t="s">
        <v>128</v>
      </c>
      <c r="B56" s="2">
        <v>45866</v>
      </c>
      <c r="C56" t="s">
        <v>19</v>
      </c>
      <c r="D56" t="s">
        <v>57</v>
      </c>
      <c r="E56" t="s">
        <v>21</v>
      </c>
      <c r="F56" t="s">
        <v>53</v>
      </c>
      <c r="G56" t="s">
        <v>105</v>
      </c>
      <c r="H56" t="s">
        <v>24</v>
      </c>
      <c r="I56">
        <v>1</v>
      </c>
      <c r="J56">
        <v>3310</v>
      </c>
      <c r="K56">
        <v>0.05</v>
      </c>
      <c r="L56" t="s">
        <v>54</v>
      </c>
      <c r="M56" t="s">
        <v>71</v>
      </c>
      <c r="N56" t="s">
        <v>27</v>
      </c>
      <c r="O56">
        <v>3310</v>
      </c>
      <c r="P56">
        <v>165.5</v>
      </c>
      <c r="Q56">
        <v>3144.5</v>
      </c>
      <c r="R56">
        <v>4</v>
      </c>
      <c r="S56" s="15">
        <f t="shared" si="0"/>
        <v>45839</v>
      </c>
    </row>
    <row r="57" spans="1:19">
      <c r="A57" t="s">
        <v>129</v>
      </c>
      <c r="B57" s="2">
        <v>45866</v>
      </c>
      <c r="C57" t="s">
        <v>19</v>
      </c>
      <c r="D57" t="s">
        <v>52</v>
      </c>
      <c r="E57" t="s">
        <v>42</v>
      </c>
      <c r="F57" t="s">
        <v>31</v>
      </c>
      <c r="G57" t="s">
        <v>58</v>
      </c>
      <c r="H57" t="s">
        <v>59</v>
      </c>
      <c r="I57">
        <v>3</v>
      </c>
      <c r="J57">
        <v>7540</v>
      </c>
      <c r="K57">
        <v>0.08</v>
      </c>
      <c r="L57" t="s">
        <v>25</v>
      </c>
      <c r="M57" t="s">
        <v>71</v>
      </c>
      <c r="N57" t="s">
        <v>130</v>
      </c>
      <c r="O57">
        <v>22620</v>
      </c>
      <c r="P57">
        <v>1809.6</v>
      </c>
      <c r="Q57">
        <v>20810.400000000001</v>
      </c>
      <c r="R57">
        <v>5</v>
      </c>
      <c r="S57" s="15">
        <f t="shared" si="0"/>
        <v>45839</v>
      </c>
    </row>
    <row r="58" spans="1:19">
      <c r="A58" t="s">
        <v>131</v>
      </c>
      <c r="B58" s="2">
        <v>45867</v>
      </c>
      <c r="C58" t="s">
        <v>19</v>
      </c>
      <c r="D58" t="s">
        <v>103</v>
      </c>
      <c r="E58" t="s">
        <v>42</v>
      </c>
      <c r="F58" t="s">
        <v>22</v>
      </c>
      <c r="G58" t="s">
        <v>73</v>
      </c>
      <c r="H58" t="s">
        <v>74</v>
      </c>
      <c r="I58">
        <v>2</v>
      </c>
      <c r="J58">
        <v>10820</v>
      </c>
      <c r="K58">
        <v>0.05</v>
      </c>
      <c r="L58" t="s">
        <v>54</v>
      </c>
      <c r="M58" t="s">
        <v>50</v>
      </c>
      <c r="N58" t="s">
        <v>27</v>
      </c>
      <c r="O58">
        <v>21640</v>
      </c>
      <c r="P58">
        <v>1082</v>
      </c>
      <c r="Q58">
        <v>20558</v>
      </c>
      <c r="R58">
        <v>3</v>
      </c>
      <c r="S58" s="15">
        <f t="shared" si="0"/>
        <v>45839</v>
      </c>
    </row>
    <row r="59" spans="1:19">
      <c r="A59" t="s">
        <v>132</v>
      </c>
      <c r="B59" s="2">
        <v>45868</v>
      </c>
      <c r="C59" t="s">
        <v>19</v>
      </c>
      <c r="D59" t="s">
        <v>57</v>
      </c>
      <c r="E59" t="s">
        <v>21</v>
      </c>
      <c r="F59" t="s">
        <v>22</v>
      </c>
      <c r="G59" t="s">
        <v>37</v>
      </c>
      <c r="H59" t="s">
        <v>24</v>
      </c>
      <c r="I59">
        <v>1</v>
      </c>
      <c r="J59">
        <v>57750</v>
      </c>
      <c r="K59">
        <v>0.05</v>
      </c>
      <c r="L59" t="s">
        <v>54</v>
      </c>
      <c r="M59" t="s">
        <v>38</v>
      </c>
      <c r="N59" t="s">
        <v>130</v>
      </c>
      <c r="O59">
        <v>57750</v>
      </c>
      <c r="P59">
        <v>2887.5</v>
      </c>
      <c r="Q59">
        <v>54862.5</v>
      </c>
      <c r="R59">
        <v>3</v>
      </c>
      <c r="S59" s="15">
        <f t="shared" si="0"/>
        <v>45839</v>
      </c>
    </row>
    <row r="60" spans="1:19">
      <c r="A60" t="s">
        <v>133</v>
      </c>
      <c r="B60" s="2">
        <v>45868</v>
      </c>
      <c r="C60" t="s">
        <v>40</v>
      </c>
      <c r="D60" t="s">
        <v>89</v>
      </c>
      <c r="E60" t="s">
        <v>21</v>
      </c>
      <c r="F60" t="s">
        <v>22</v>
      </c>
      <c r="G60" t="s">
        <v>23</v>
      </c>
      <c r="H60" t="s">
        <v>24</v>
      </c>
      <c r="I60">
        <v>3</v>
      </c>
      <c r="J60">
        <v>26780</v>
      </c>
      <c r="K60">
        <v>0</v>
      </c>
      <c r="L60" t="s">
        <v>54</v>
      </c>
      <c r="M60" t="s">
        <v>66</v>
      </c>
      <c r="N60" t="s">
        <v>27</v>
      </c>
      <c r="O60">
        <v>80340</v>
      </c>
      <c r="P60">
        <v>0</v>
      </c>
      <c r="Q60">
        <v>80340</v>
      </c>
      <c r="R60">
        <v>2</v>
      </c>
      <c r="S60" s="15">
        <f t="shared" si="0"/>
        <v>45839</v>
      </c>
    </row>
    <row r="61" spans="1:19">
      <c r="A61" t="s">
        <v>134</v>
      </c>
      <c r="B61" s="2">
        <v>45868</v>
      </c>
      <c r="C61" t="s">
        <v>29</v>
      </c>
      <c r="D61" t="s">
        <v>30</v>
      </c>
      <c r="E61" t="s">
        <v>42</v>
      </c>
      <c r="F61" t="s">
        <v>22</v>
      </c>
      <c r="G61" t="s">
        <v>95</v>
      </c>
      <c r="H61" t="s">
        <v>24</v>
      </c>
      <c r="I61">
        <v>4</v>
      </c>
      <c r="J61">
        <v>21760</v>
      </c>
      <c r="K61">
        <v>0.05</v>
      </c>
      <c r="L61" t="s">
        <v>68</v>
      </c>
      <c r="M61" t="s">
        <v>66</v>
      </c>
      <c r="N61" t="s">
        <v>27</v>
      </c>
      <c r="O61">
        <v>87040</v>
      </c>
      <c r="P61">
        <v>4352</v>
      </c>
      <c r="Q61">
        <v>82688</v>
      </c>
      <c r="R61">
        <v>4</v>
      </c>
      <c r="S61" s="15">
        <f t="shared" si="0"/>
        <v>45839</v>
      </c>
    </row>
    <row r="62" spans="1:19">
      <c r="A62" t="s">
        <v>135</v>
      </c>
      <c r="B62" s="2">
        <v>45869</v>
      </c>
      <c r="C62" t="s">
        <v>19</v>
      </c>
      <c r="D62" t="s">
        <v>52</v>
      </c>
      <c r="E62" t="s">
        <v>42</v>
      </c>
      <c r="F62" t="s">
        <v>22</v>
      </c>
      <c r="G62" t="s">
        <v>43</v>
      </c>
      <c r="H62" t="s">
        <v>33</v>
      </c>
      <c r="I62">
        <v>3</v>
      </c>
      <c r="J62">
        <v>940</v>
      </c>
      <c r="K62">
        <v>0.03</v>
      </c>
      <c r="L62" t="s">
        <v>34</v>
      </c>
      <c r="M62" t="s">
        <v>26</v>
      </c>
      <c r="N62" t="s">
        <v>27</v>
      </c>
      <c r="O62">
        <v>2820</v>
      </c>
      <c r="P62">
        <v>84.6</v>
      </c>
      <c r="Q62">
        <v>2735.4</v>
      </c>
      <c r="R62">
        <v>4</v>
      </c>
      <c r="S62" s="15">
        <f t="shared" si="0"/>
        <v>45839</v>
      </c>
    </row>
    <row r="63" spans="1:19">
      <c r="A63" t="s">
        <v>136</v>
      </c>
      <c r="B63" s="2">
        <v>45870</v>
      </c>
      <c r="C63" t="s">
        <v>29</v>
      </c>
      <c r="D63" t="s">
        <v>78</v>
      </c>
      <c r="E63" t="s">
        <v>21</v>
      </c>
      <c r="F63" t="s">
        <v>22</v>
      </c>
      <c r="G63" t="s">
        <v>92</v>
      </c>
      <c r="H63" t="s">
        <v>24</v>
      </c>
      <c r="I63">
        <v>4</v>
      </c>
      <c r="J63">
        <v>15510</v>
      </c>
      <c r="K63">
        <v>0</v>
      </c>
      <c r="L63" t="s">
        <v>64</v>
      </c>
      <c r="M63" t="s">
        <v>35</v>
      </c>
      <c r="N63" t="s">
        <v>27</v>
      </c>
      <c r="O63">
        <v>62040</v>
      </c>
      <c r="P63">
        <v>0</v>
      </c>
      <c r="Q63">
        <v>62040</v>
      </c>
      <c r="R63">
        <v>4</v>
      </c>
      <c r="S63" s="15">
        <f t="shared" si="0"/>
        <v>45870</v>
      </c>
    </row>
    <row r="64" spans="1:19">
      <c r="A64" t="s">
        <v>137</v>
      </c>
      <c r="B64" s="2">
        <v>45870</v>
      </c>
      <c r="C64" t="s">
        <v>29</v>
      </c>
      <c r="D64" t="s">
        <v>61</v>
      </c>
      <c r="E64" t="s">
        <v>21</v>
      </c>
      <c r="F64" t="s">
        <v>31</v>
      </c>
      <c r="G64" t="s">
        <v>92</v>
      </c>
      <c r="H64" t="s">
        <v>24</v>
      </c>
      <c r="I64">
        <v>1</v>
      </c>
      <c r="J64">
        <v>17280</v>
      </c>
      <c r="K64">
        <v>0.03</v>
      </c>
      <c r="L64" t="s">
        <v>68</v>
      </c>
      <c r="M64" t="s">
        <v>71</v>
      </c>
      <c r="N64" t="s">
        <v>27</v>
      </c>
      <c r="O64">
        <v>17280</v>
      </c>
      <c r="P64">
        <v>518.4</v>
      </c>
      <c r="Q64">
        <v>16761.599999999999</v>
      </c>
      <c r="R64">
        <v>2</v>
      </c>
      <c r="S64" s="15">
        <f t="shared" si="0"/>
        <v>45870</v>
      </c>
    </row>
    <row r="65" spans="1:19">
      <c r="A65" t="s">
        <v>138</v>
      </c>
      <c r="B65" s="2">
        <v>45870</v>
      </c>
      <c r="C65" t="s">
        <v>29</v>
      </c>
      <c r="D65" t="s">
        <v>30</v>
      </c>
      <c r="E65" t="s">
        <v>42</v>
      </c>
      <c r="F65" t="s">
        <v>22</v>
      </c>
      <c r="G65" t="s">
        <v>48</v>
      </c>
      <c r="H65" t="s">
        <v>49</v>
      </c>
      <c r="I65">
        <v>3</v>
      </c>
      <c r="J65">
        <v>12550</v>
      </c>
      <c r="K65">
        <v>0.1</v>
      </c>
      <c r="L65" t="s">
        <v>54</v>
      </c>
      <c r="M65" t="s">
        <v>35</v>
      </c>
      <c r="N65" t="s">
        <v>27</v>
      </c>
      <c r="O65">
        <v>37650</v>
      </c>
      <c r="P65">
        <v>3765</v>
      </c>
      <c r="Q65">
        <v>33885</v>
      </c>
      <c r="R65">
        <v>2</v>
      </c>
      <c r="S65" s="15">
        <f t="shared" si="0"/>
        <v>45870</v>
      </c>
    </row>
    <row r="66" spans="1:19">
      <c r="A66" t="s">
        <v>139</v>
      </c>
      <c r="B66" s="2">
        <v>45872</v>
      </c>
      <c r="C66" t="s">
        <v>19</v>
      </c>
      <c r="D66" t="s">
        <v>103</v>
      </c>
      <c r="E66" t="s">
        <v>42</v>
      </c>
      <c r="F66" t="s">
        <v>22</v>
      </c>
      <c r="G66" t="s">
        <v>32</v>
      </c>
      <c r="H66" t="s">
        <v>33</v>
      </c>
      <c r="I66">
        <v>2</v>
      </c>
      <c r="J66">
        <v>2560</v>
      </c>
      <c r="K66">
        <v>0.05</v>
      </c>
      <c r="L66" t="s">
        <v>54</v>
      </c>
      <c r="M66" t="s">
        <v>55</v>
      </c>
      <c r="N66" t="s">
        <v>27</v>
      </c>
      <c r="O66">
        <v>5120</v>
      </c>
      <c r="P66">
        <v>256</v>
      </c>
      <c r="Q66">
        <v>4864</v>
      </c>
      <c r="R66">
        <v>3</v>
      </c>
      <c r="S66" s="15">
        <f t="shared" ref="S66:S129" si="1">DATE(YEAR(B66),MONTH(B66),1)</f>
        <v>45870</v>
      </c>
    </row>
    <row r="67" spans="1:19">
      <c r="A67" t="s">
        <v>140</v>
      </c>
      <c r="B67" s="2">
        <v>45873</v>
      </c>
      <c r="C67" t="s">
        <v>19</v>
      </c>
      <c r="D67" t="s">
        <v>20</v>
      </c>
      <c r="E67" t="s">
        <v>42</v>
      </c>
      <c r="F67" t="s">
        <v>31</v>
      </c>
      <c r="G67" t="s">
        <v>32</v>
      </c>
      <c r="H67" t="s">
        <v>33</v>
      </c>
      <c r="I67">
        <v>3</v>
      </c>
      <c r="J67">
        <v>2500</v>
      </c>
      <c r="K67">
        <v>0</v>
      </c>
      <c r="L67" t="s">
        <v>64</v>
      </c>
      <c r="M67" t="s">
        <v>66</v>
      </c>
      <c r="N67" t="s">
        <v>27</v>
      </c>
      <c r="O67">
        <v>7500</v>
      </c>
      <c r="P67">
        <v>0</v>
      </c>
      <c r="Q67">
        <v>7500</v>
      </c>
      <c r="R67">
        <v>3</v>
      </c>
      <c r="S67" s="15">
        <f t="shared" si="1"/>
        <v>45870</v>
      </c>
    </row>
    <row r="68" spans="1:19">
      <c r="A68" t="s">
        <v>141</v>
      </c>
      <c r="B68" s="2">
        <v>45873</v>
      </c>
      <c r="C68" t="s">
        <v>40</v>
      </c>
      <c r="D68" t="s">
        <v>89</v>
      </c>
      <c r="E68" t="s">
        <v>70</v>
      </c>
      <c r="F68" t="s">
        <v>31</v>
      </c>
      <c r="G68" t="s">
        <v>92</v>
      </c>
      <c r="H68" t="s">
        <v>24</v>
      </c>
      <c r="I68">
        <v>2</v>
      </c>
      <c r="J68">
        <v>16570</v>
      </c>
      <c r="K68">
        <v>0.05</v>
      </c>
      <c r="L68" t="s">
        <v>64</v>
      </c>
      <c r="M68" t="s">
        <v>50</v>
      </c>
      <c r="N68" t="s">
        <v>27</v>
      </c>
      <c r="O68">
        <v>33140</v>
      </c>
      <c r="P68">
        <v>1657</v>
      </c>
      <c r="Q68">
        <v>31483</v>
      </c>
      <c r="R68">
        <v>5</v>
      </c>
      <c r="S68" s="15">
        <f t="shared" si="1"/>
        <v>45870</v>
      </c>
    </row>
    <row r="69" spans="1:19">
      <c r="A69" t="s">
        <v>142</v>
      </c>
      <c r="B69" s="2">
        <v>45873</v>
      </c>
      <c r="C69" t="s">
        <v>19</v>
      </c>
      <c r="D69" t="s">
        <v>57</v>
      </c>
      <c r="E69" t="s">
        <v>42</v>
      </c>
      <c r="F69" t="s">
        <v>22</v>
      </c>
      <c r="G69" t="s">
        <v>62</v>
      </c>
      <c r="H69" t="s">
        <v>33</v>
      </c>
      <c r="I69">
        <v>3</v>
      </c>
      <c r="J69">
        <v>1850</v>
      </c>
      <c r="K69">
        <v>0.05</v>
      </c>
      <c r="L69" t="s">
        <v>64</v>
      </c>
      <c r="M69" t="s">
        <v>55</v>
      </c>
      <c r="N69" t="s">
        <v>27</v>
      </c>
      <c r="O69">
        <v>5550</v>
      </c>
      <c r="P69">
        <v>277.5</v>
      </c>
      <c r="Q69">
        <v>5272.5</v>
      </c>
      <c r="R69">
        <v>3</v>
      </c>
      <c r="S69" s="15">
        <f t="shared" si="1"/>
        <v>45870</v>
      </c>
    </row>
    <row r="70" spans="1:19">
      <c r="A70" t="s">
        <v>143</v>
      </c>
      <c r="B70" s="2">
        <v>45874</v>
      </c>
      <c r="C70" t="s">
        <v>40</v>
      </c>
      <c r="D70" t="s">
        <v>115</v>
      </c>
      <c r="E70" t="s">
        <v>70</v>
      </c>
      <c r="F70" t="s">
        <v>31</v>
      </c>
      <c r="G70" t="s">
        <v>105</v>
      </c>
      <c r="H70" t="s">
        <v>24</v>
      </c>
      <c r="I70">
        <v>4</v>
      </c>
      <c r="J70">
        <v>3100</v>
      </c>
      <c r="K70">
        <v>0.05</v>
      </c>
      <c r="L70" t="s">
        <v>25</v>
      </c>
      <c r="M70" t="s">
        <v>38</v>
      </c>
      <c r="N70" t="s">
        <v>27</v>
      </c>
      <c r="O70">
        <v>12400</v>
      </c>
      <c r="P70">
        <v>620</v>
      </c>
      <c r="Q70">
        <v>11780</v>
      </c>
      <c r="R70">
        <v>2</v>
      </c>
      <c r="S70" s="15">
        <f t="shared" si="1"/>
        <v>45870</v>
      </c>
    </row>
    <row r="71" spans="1:19">
      <c r="A71" t="s">
        <v>144</v>
      </c>
      <c r="B71" s="2">
        <v>45874</v>
      </c>
      <c r="C71" t="s">
        <v>82</v>
      </c>
      <c r="D71" t="s">
        <v>122</v>
      </c>
      <c r="E71" t="s">
        <v>21</v>
      </c>
      <c r="F71" t="s">
        <v>22</v>
      </c>
      <c r="G71" t="s">
        <v>58</v>
      </c>
      <c r="H71" t="s">
        <v>59</v>
      </c>
      <c r="I71">
        <v>4</v>
      </c>
      <c r="J71">
        <v>7300</v>
      </c>
      <c r="K71">
        <v>0.1</v>
      </c>
      <c r="L71" t="s">
        <v>64</v>
      </c>
      <c r="M71" t="s">
        <v>35</v>
      </c>
      <c r="N71" t="s">
        <v>27</v>
      </c>
      <c r="O71">
        <v>29200</v>
      </c>
      <c r="P71">
        <v>2920</v>
      </c>
      <c r="Q71">
        <v>26280</v>
      </c>
      <c r="R71">
        <v>2</v>
      </c>
      <c r="S71" s="15">
        <f t="shared" si="1"/>
        <v>45870</v>
      </c>
    </row>
    <row r="72" spans="1:19">
      <c r="A72" t="s">
        <v>145</v>
      </c>
      <c r="B72" s="2">
        <v>45874</v>
      </c>
      <c r="C72" t="s">
        <v>29</v>
      </c>
      <c r="D72" t="s">
        <v>85</v>
      </c>
      <c r="E72" t="s">
        <v>42</v>
      </c>
      <c r="F72" t="s">
        <v>31</v>
      </c>
      <c r="G72" t="s">
        <v>92</v>
      </c>
      <c r="H72" t="s">
        <v>24</v>
      </c>
      <c r="I72">
        <v>2</v>
      </c>
      <c r="J72">
        <v>15730</v>
      </c>
      <c r="K72">
        <v>0.05</v>
      </c>
      <c r="L72" t="s">
        <v>25</v>
      </c>
      <c r="M72" t="s">
        <v>26</v>
      </c>
      <c r="N72" t="s">
        <v>27</v>
      </c>
      <c r="O72">
        <v>31460</v>
      </c>
      <c r="P72">
        <v>1573</v>
      </c>
      <c r="Q72">
        <v>29887</v>
      </c>
      <c r="R72">
        <v>4</v>
      </c>
      <c r="S72" s="15">
        <f t="shared" si="1"/>
        <v>45870</v>
      </c>
    </row>
    <row r="73" spans="1:19">
      <c r="A73" t="s">
        <v>146</v>
      </c>
      <c r="B73" s="2">
        <v>45875</v>
      </c>
      <c r="C73" t="s">
        <v>29</v>
      </c>
      <c r="D73" t="s">
        <v>85</v>
      </c>
      <c r="E73" t="s">
        <v>21</v>
      </c>
      <c r="F73" t="s">
        <v>31</v>
      </c>
      <c r="G73" t="s">
        <v>58</v>
      </c>
      <c r="H73" t="s">
        <v>59</v>
      </c>
      <c r="I73">
        <v>1</v>
      </c>
      <c r="J73">
        <v>6950</v>
      </c>
      <c r="K73">
        <v>0.05</v>
      </c>
      <c r="L73" t="s">
        <v>64</v>
      </c>
      <c r="M73" t="s">
        <v>50</v>
      </c>
      <c r="N73" t="s">
        <v>27</v>
      </c>
      <c r="O73">
        <v>6950</v>
      </c>
      <c r="P73">
        <v>347.5</v>
      </c>
      <c r="Q73">
        <v>6602.5</v>
      </c>
      <c r="R73">
        <v>5</v>
      </c>
      <c r="S73" s="15">
        <f t="shared" si="1"/>
        <v>45870</v>
      </c>
    </row>
    <row r="74" spans="1:19">
      <c r="A74" t="s">
        <v>147</v>
      </c>
      <c r="B74" s="2">
        <v>45875</v>
      </c>
      <c r="C74" t="s">
        <v>29</v>
      </c>
      <c r="D74" t="s">
        <v>30</v>
      </c>
      <c r="E74" t="s">
        <v>42</v>
      </c>
      <c r="F74" t="s">
        <v>22</v>
      </c>
      <c r="G74" t="s">
        <v>92</v>
      </c>
      <c r="H74" t="s">
        <v>24</v>
      </c>
      <c r="I74">
        <v>1</v>
      </c>
      <c r="J74">
        <v>15970</v>
      </c>
      <c r="K74">
        <v>0</v>
      </c>
      <c r="L74" t="s">
        <v>68</v>
      </c>
      <c r="M74" t="s">
        <v>38</v>
      </c>
      <c r="N74" t="s">
        <v>27</v>
      </c>
      <c r="O74">
        <v>15970</v>
      </c>
      <c r="P74">
        <v>0</v>
      </c>
      <c r="Q74">
        <v>15970</v>
      </c>
      <c r="R74">
        <v>6</v>
      </c>
      <c r="S74" s="15">
        <f t="shared" si="1"/>
        <v>45870</v>
      </c>
    </row>
    <row r="75" spans="1:19">
      <c r="A75" t="s">
        <v>148</v>
      </c>
      <c r="B75" s="2">
        <v>45875</v>
      </c>
      <c r="C75" t="s">
        <v>19</v>
      </c>
      <c r="D75" t="s">
        <v>740</v>
      </c>
      <c r="E75" t="s">
        <v>70</v>
      </c>
      <c r="F75" t="s">
        <v>31</v>
      </c>
      <c r="G75" t="s">
        <v>149</v>
      </c>
      <c r="H75" t="s">
        <v>33</v>
      </c>
      <c r="I75">
        <v>1</v>
      </c>
      <c r="J75">
        <v>3670</v>
      </c>
      <c r="K75">
        <v>0</v>
      </c>
      <c r="L75" t="s">
        <v>54</v>
      </c>
      <c r="M75" t="s">
        <v>35</v>
      </c>
      <c r="N75" t="s">
        <v>27</v>
      </c>
      <c r="O75">
        <v>3670</v>
      </c>
      <c r="P75">
        <v>0</v>
      </c>
      <c r="Q75">
        <v>3670</v>
      </c>
      <c r="R75">
        <v>2</v>
      </c>
      <c r="S75" s="15">
        <f t="shared" si="1"/>
        <v>45870</v>
      </c>
    </row>
    <row r="76" spans="1:19">
      <c r="A76" t="s">
        <v>150</v>
      </c>
      <c r="B76" s="2">
        <v>45877</v>
      </c>
      <c r="C76" t="s">
        <v>40</v>
      </c>
      <c r="D76" t="s">
        <v>89</v>
      </c>
      <c r="E76" t="s">
        <v>70</v>
      </c>
      <c r="F76" t="s">
        <v>31</v>
      </c>
      <c r="G76" t="s">
        <v>149</v>
      </c>
      <c r="H76" t="s">
        <v>33</v>
      </c>
      <c r="I76">
        <v>3</v>
      </c>
      <c r="J76">
        <v>3770</v>
      </c>
      <c r="K76">
        <v>0.03</v>
      </c>
      <c r="L76" t="s">
        <v>64</v>
      </c>
      <c r="M76" t="s">
        <v>55</v>
      </c>
      <c r="N76" t="s">
        <v>27</v>
      </c>
      <c r="O76">
        <v>11310</v>
      </c>
      <c r="P76">
        <v>339.3</v>
      </c>
      <c r="Q76">
        <v>10970.7</v>
      </c>
      <c r="R76">
        <v>2</v>
      </c>
      <c r="S76" s="15">
        <f t="shared" si="1"/>
        <v>45870</v>
      </c>
    </row>
    <row r="77" spans="1:19">
      <c r="A77" t="s">
        <v>151</v>
      </c>
      <c r="B77" s="2">
        <v>45877</v>
      </c>
      <c r="C77" t="s">
        <v>19</v>
      </c>
      <c r="D77" t="s">
        <v>57</v>
      </c>
      <c r="E77" t="s">
        <v>70</v>
      </c>
      <c r="F77" t="s">
        <v>22</v>
      </c>
      <c r="G77" t="s">
        <v>152</v>
      </c>
      <c r="H77" t="s">
        <v>74</v>
      </c>
      <c r="I77">
        <v>5</v>
      </c>
      <c r="J77">
        <v>14360</v>
      </c>
      <c r="K77">
        <v>0.1</v>
      </c>
      <c r="L77" t="s">
        <v>54</v>
      </c>
      <c r="M77" t="s">
        <v>26</v>
      </c>
      <c r="N77" t="s">
        <v>27</v>
      </c>
      <c r="O77">
        <v>71800</v>
      </c>
      <c r="P77">
        <v>7180</v>
      </c>
      <c r="Q77">
        <v>64620</v>
      </c>
      <c r="R77">
        <v>5</v>
      </c>
      <c r="S77" s="15">
        <f t="shared" si="1"/>
        <v>45870</v>
      </c>
    </row>
    <row r="78" spans="1:19">
      <c r="A78" t="s">
        <v>153</v>
      </c>
      <c r="B78" s="2">
        <v>45877</v>
      </c>
      <c r="C78" t="s">
        <v>19</v>
      </c>
      <c r="D78" t="s">
        <v>20</v>
      </c>
      <c r="E78" t="s">
        <v>21</v>
      </c>
      <c r="F78" t="s">
        <v>22</v>
      </c>
      <c r="G78" t="s">
        <v>105</v>
      </c>
      <c r="H78" t="s">
        <v>24</v>
      </c>
      <c r="I78">
        <v>4</v>
      </c>
      <c r="J78">
        <v>3120</v>
      </c>
      <c r="K78">
        <v>0.05</v>
      </c>
      <c r="L78" t="s">
        <v>54</v>
      </c>
      <c r="M78" t="s">
        <v>71</v>
      </c>
      <c r="N78" t="s">
        <v>27</v>
      </c>
      <c r="O78">
        <v>12480</v>
      </c>
      <c r="P78">
        <v>624</v>
      </c>
      <c r="Q78">
        <v>11856</v>
      </c>
      <c r="R78">
        <v>3</v>
      </c>
      <c r="S78" s="15">
        <f t="shared" si="1"/>
        <v>45870</v>
      </c>
    </row>
    <row r="79" spans="1:19">
      <c r="A79" t="s">
        <v>154</v>
      </c>
      <c r="B79" s="2">
        <v>45879</v>
      </c>
      <c r="C79" t="s">
        <v>82</v>
      </c>
      <c r="D79" t="s">
        <v>122</v>
      </c>
      <c r="E79" t="s">
        <v>42</v>
      </c>
      <c r="F79" t="s">
        <v>22</v>
      </c>
      <c r="G79" t="s">
        <v>43</v>
      </c>
      <c r="H79" t="s">
        <v>33</v>
      </c>
      <c r="I79">
        <v>3</v>
      </c>
      <c r="J79">
        <v>960</v>
      </c>
      <c r="K79">
        <v>0.15</v>
      </c>
      <c r="L79" t="s">
        <v>25</v>
      </c>
      <c r="M79" t="s">
        <v>50</v>
      </c>
      <c r="N79" t="s">
        <v>27</v>
      </c>
      <c r="O79">
        <v>2880</v>
      </c>
      <c r="P79">
        <v>432</v>
      </c>
      <c r="Q79">
        <v>2448</v>
      </c>
      <c r="R79">
        <v>6</v>
      </c>
      <c r="S79" s="15">
        <f t="shared" si="1"/>
        <v>45870</v>
      </c>
    </row>
    <row r="80" spans="1:19">
      <c r="A80" t="s">
        <v>155</v>
      </c>
      <c r="B80" s="2">
        <v>45879</v>
      </c>
      <c r="C80" t="s">
        <v>40</v>
      </c>
      <c r="D80" t="s">
        <v>89</v>
      </c>
      <c r="E80" t="s">
        <v>42</v>
      </c>
      <c r="F80" t="s">
        <v>22</v>
      </c>
      <c r="G80" t="s">
        <v>43</v>
      </c>
      <c r="H80" t="s">
        <v>33</v>
      </c>
      <c r="I80">
        <v>2</v>
      </c>
      <c r="J80">
        <v>920</v>
      </c>
      <c r="K80">
        <v>0.08</v>
      </c>
      <c r="L80" t="s">
        <v>64</v>
      </c>
      <c r="M80" t="s">
        <v>38</v>
      </c>
      <c r="N80" t="s">
        <v>27</v>
      </c>
      <c r="O80">
        <v>1840</v>
      </c>
      <c r="P80">
        <v>147.19999999999999</v>
      </c>
      <c r="Q80">
        <v>1692.8</v>
      </c>
      <c r="R80">
        <v>5</v>
      </c>
      <c r="S80" s="15">
        <f t="shared" si="1"/>
        <v>45870</v>
      </c>
    </row>
    <row r="81" spans="1:19">
      <c r="A81" t="s">
        <v>156</v>
      </c>
      <c r="B81" s="2">
        <v>45879</v>
      </c>
      <c r="C81" t="s">
        <v>40</v>
      </c>
      <c r="D81" t="s">
        <v>115</v>
      </c>
      <c r="E81" t="s">
        <v>21</v>
      </c>
      <c r="F81" t="s">
        <v>22</v>
      </c>
      <c r="G81" t="s">
        <v>101</v>
      </c>
      <c r="H81" t="s">
        <v>33</v>
      </c>
      <c r="I81">
        <v>1</v>
      </c>
      <c r="J81">
        <v>1900</v>
      </c>
      <c r="K81">
        <v>0.1</v>
      </c>
      <c r="L81" t="s">
        <v>34</v>
      </c>
      <c r="M81" t="s">
        <v>35</v>
      </c>
      <c r="N81" t="s">
        <v>27</v>
      </c>
      <c r="O81">
        <v>1900</v>
      </c>
      <c r="P81">
        <v>190</v>
      </c>
      <c r="Q81">
        <v>1710</v>
      </c>
      <c r="R81">
        <v>4</v>
      </c>
      <c r="S81" s="15">
        <f t="shared" si="1"/>
        <v>45870</v>
      </c>
    </row>
    <row r="82" spans="1:19">
      <c r="A82" t="s">
        <v>157</v>
      </c>
      <c r="B82" s="2">
        <v>45880</v>
      </c>
      <c r="C82" t="s">
        <v>29</v>
      </c>
      <c r="D82" t="s">
        <v>78</v>
      </c>
      <c r="E82" t="s">
        <v>42</v>
      </c>
      <c r="F82" t="s">
        <v>22</v>
      </c>
      <c r="G82" t="s">
        <v>62</v>
      </c>
      <c r="H82" t="s">
        <v>33</v>
      </c>
      <c r="I82">
        <v>1</v>
      </c>
      <c r="J82">
        <v>1900</v>
      </c>
      <c r="K82">
        <v>0.05</v>
      </c>
      <c r="L82" t="s">
        <v>64</v>
      </c>
      <c r="M82" t="s">
        <v>35</v>
      </c>
      <c r="N82" t="s">
        <v>27</v>
      </c>
      <c r="O82">
        <v>1900</v>
      </c>
      <c r="P82">
        <v>95</v>
      </c>
      <c r="Q82">
        <v>1805</v>
      </c>
      <c r="R82">
        <v>4</v>
      </c>
      <c r="S82" s="15">
        <f t="shared" si="1"/>
        <v>45870</v>
      </c>
    </row>
    <row r="83" spans="1:19">
      <c r="A83" t="s">
        <v>158</v>
      </c>
      <c r="B83" s="2">
        <v>45880</v>
      </c>
      <c r="C83" t="s">
        <v>29</v>
      </c>
      <c r="D83" t="s">
        <v>85</v>
      </c>
      <c r="E83" t="s">
        <v>70</v>
      </c>
      <c r="F83" t="s">
        <v>22</v>
      </c>
      <c r="G83" t="s">
        <v>152</v>
      </c>
      <c r="H83" t="s">
        <v>74</v>
      </c>
      <c r="I83">
        <v>1</v>
      </c>
      <c r="J83">
        <v>14010</v>
      </c>
      <c r="K83">
        <v>0</v>
      </c>
      <c r="L83" t="s">
        <v>68</v>
      </c>
      <c r="M83" t="s">
        <v>71</v>
      </c>
      <c r="N83" t="s">
        <v>27</v>
      </c>
      <c r="O83">
        <v>14010</v>
      </c>
      <c r="P83">
        <v>0</v>
      </c>
      <c r="Q83">
        <v>14010</v>
      </c>
      <c r="R83">
        <v>1</v>
      </c>
      <c r="S83" s="15">
        <f t="shared" si="1"/>
        <v>45870</v>
      </c>
    </row>
    <row r="84" spans="1:19">
      <c r="A84" t="s">
        <v>159</v>
      </c>
      <c r="B84" s="2">
        <v>45881</v>
      </c>
      <c r="C84" t="s">
        <v>40</v>
      </c>
      <c r="D84" t="s">
        <v>41</v>
      </c>
      <c r="E84" t="s">
        <v>70</v>
      </c>
      <c r="F84" t="s">
        <v>22</v>
      </c>
      <c r="G84" t="s">
        <v>149</v>
      </c>
      <c r="H84" t="s">
        <v>33</v>
      </c>
      <c r="I84">
        <v>1</v>
      </c>
      <c r="J84">
        <v>3390</v>
      </c>
      <c r="K84">
        <v>0.1</v>
      </c>
      <c r="L84" t="s">
        <v>64</v>
      </c>
      <c r="M84" t="s">
        <v>71</v>
      </c>
      <c r="N84" t="s">
        <v>27</v>
      </c>
      <c r="O84">
        <v>3390</v>
      </c>
      <c r="P84">
        <v>339</v>
      </c>
      <c r="Q84">
        <v>3051</v>
      </c>
      <c r="R84">
        <v>2</v>
      </c>
      <c r="S84" s="15">
        <f t="shared" si="1"/>
        <v>45870</v>
      </c>
    </row>
    <row r="85" spans="1:19">
      <c r="A85" t="s">
        <v>160</v>
      </c>
      <c r="B85" s="2">
        <v>45881</v>
      </c>
      <c r="C85" t="s">
        <v>19</v>
      </c>
      <c r="D85" t="s">
        <v>20</v>
      </c>
      <c r="E85" t="s">
        <v>42</v>
      </c>
      <c r="F85" t="s">
        <v>22</v>
      </c>
      <c r="G85" t="s">
        <v>73</v>
      </c>
      <c r="H85" t="s">
        <v>74</v>
      </c>
      <c r="I85">
        <v>1</v>
      </c>
      <c r="J85">
        <v>11610</v>
      </c>
      <c r="K85">
        <v>0</v>
      </c>
      <c r="L85" t="s">
        <v>64</v>
      </c>
      <c r="M85" t="s">
        <v>71</v>
      </c>
      <c r="N85" t="s">
        <v>27</v>
      </c>
      <c r="O85">
        <v>11610</v>
      </c>
      <c r="P85">
        <v>0</v>
      </c>
      <c r="Q85">
        <v>11610</v>
      </c>
      <c r="R85">
        <v>6</v>
      </c>
      <c r="S85" s="15">
        <f t="shared" si="1"/>
        <v>45870</v>
      </c>
    </row>
    <row r="86" spans="1:19">
      <c r="A86" t="s">
        <v>161</v>
      </c>
      <c r="B86" s="2">
        <v>45882</v>
      </c>
      <c r="C86" t="s">
        <v>29</v>
      </c>
      <c r="D86" t="s">
        <v>61</v>
      </c>
      <c r="E86" t="s">
        <v>42</v>
      </c>
      <c r="F86" t="s">
        <v>31</v>
      </c>
      <c r="G86" t="s">
        <v>37</v>
      </c>
      <c r="H86" t="s">
        <v>24</v>
      </c>
      <c r="I86">
        <v>4</v>
      </c>
      <c r="J86">
        <v>63800</v>
      </c>
      <c r="K86">
        <v>0.1</v>
      </c>
      <c r="L86" t="s">
        <v>25</v>
      </c>
      <c r="M86" t="s">
        <v>26</v>
      </c>
      <c r="N86" t="s">
        <v>27</v>
      </c>
      <c r="O86">
        <v>255200</v>
      </c>
      <c r="P86">
        <v>25520</v>
      </c>
      <c r="Q86">
        <v>229680</v>
      </c>
      <c r="R86">
        <v>5</v>
      </c>
      <c r="S86" s="15">
        <f t="shared" si="1"/>
        <v>45870</v>
      </c>
    </row>
    <row r="87" spans="1:19">
      <c r="A87" t="s">
        <v>162</v>
      </c>
      <c r="B87" s="2">
        <v>45883</v>
      </c>
      <c r="C87" t="s">
        <v>40</v>
      </c>
      <c r="D87" t="s">
        <v>89</v>
      </c>
      <c r="E87" t="s">
        <v>21</v>
      </c>
      <c r="F87" t="s">
        <v>53</v>
      </c>
      <c r="G87" t="s">
        <v>48</v>
      </c>
      <c r="H87" t="s">
        <v>49</v>
      </c>
      <c r="I87">
        <v>1</v>
      </c>
      <c r="J87">
        <v>12800</v>
      </c>
      <c r="K87">
        <v>0.05</v>
      </c>
      <c r="L87" t="s">
        <v>54</v>
      </c>
      <c r="M87" t="s">
        <v>44</v>
      </c>
      <c r="N87" t="s">
        <v>27</v>
      </c>
      <c r="O87">
        <v>12800</v>
      </c>
      <c r="P87">
        <v>640</v>
      </c>
      <c r="Q87">
        <v>12160</v>
      </c>
      <c r="R87">
        <v>1</v>
      </c>
      <c r="S87" s="15">
        <f t="shared" si="1"/>
        <v>45870</v>
      </c>
    </row>
    <row r="88" spans="1:19">
      <c r="A88" t="s">
        <v>163</v>
      </c>
      <c r="B88" s="2">
        <v>45883</v>
      </c>
      <c r="C88" t="s">
        <v>40</v>
      </c>
      <c r="D88" t="s">
        <v>47</v>
      </c>
      <c r="E88" t="s">
        <v>42</v>
      </c>
      <c r="F88" t="s">
        <v>31</v>
      </c>
      <c r="G88" t="s">
        <v>23</v>
      </c>
      <c r="H88" t="s">
        <v>24</v>
      </c>
      <c r="I88">
        <v>1</v>
      </c>
      <c r="J88">
        <v>29540</v>
      </c>
      <c r="K88">
        <v>0.05</v>
      </c>
      <c r="L88" t="s">
        <v>64</v>
      </c>
      <c r="M88" t="s">
        <v>35</v>
      </c>
      <c r="N88" t="s">
        <v>27</v>
      </c>
      <c r="O88">
        <v>29540</v>
      </c>
      <c r="P88">
        <v>1477</v>
      </c>
      <c r="Q88">
        <v>28063</v>
      </c>
      <c r="R88">
        <v>4</v>
      </c>
      <c r="S88" s="15">
        <f t="shared" si="1"/>
        <v>45870</v>
      </c>
    </row>
    <row r="89" spans="1:19">
      <c r="A89" t="s">
        <v>164</v>
      </c>
      <c r="B89" s="2">
        <v>45883</v>
      </c>
      <c r="C89" t="s">
        <v>82</v>
      </c>
      <c r="D89" t="s">
        <v>122</v>
      </c>
      <c r="E89" t="s">
        <v>21</v>
      </c>
      <c r="F89" t="s">
        <v>22</v>
      </c>
      <c r="G89" t="s">
        <v>62</v>
      </c>
      <c r="H89" t="s">
        <v>33</v>
      </c>
      <c r="I89">
        <v>3</v>
      </c>
      <c r="J89">
        <v>1800</v>
      </c>
      <c r="K89">
        <v>0</v>
      </c>
      <c r="L89" t="s">
        <v>64</v>
      </c>
      <c r="M89" t="s">
        <v>50</v>
      </c>
      <c r="N89" t="s">
        <v>27</v>
      </c>
      <c r="O89">
        <v>5400</v>
      </c>
      <c r="P89">
        <v>0</v>
      </c>
      <c r="Q89">
        <v>5400</v>
      </c>
      <c r="R89">
        <v>3</v>
      </c>
      <c r="S89" s="15">
        <f t="shared" si="1"/>
        <v>45870</v>
      </c>
    </row>
    <row r="90" spans="1:19">
      <c r="A90" t="s">
        <v>165</v>
      </c>
      <c r="B90" s="2">
        <v>45884</v>
      </c>
      <c r="C90" t="s">
        <v>19</v>
      </c>
      <c r="D90" t="s">
        <v>20</v>
      </c>
      <c r="E90" t="s">
        <v>21</v>
      </c>
      <c r="F90" t="s">
        <v>22</v>
      </c>
      <c r="G90" t="s">
        <v>149</v>
      </c>
      <c r="H90" t="s">
        <v>33</v>
      </c>
      <c r="I90">
        <v>4</v>
      </c>
      <c r="J90">
        <v>3690</v>
      </c>
      <c r="K90">
        <v>0</v>
      </c>
      <c r="L90" t="s">
        <v>25</v>
      </c>
      <c r="M90" t="s">
        <v>35</v>
      </c>
      <c r="N90" t="s">
        <v>27</v>
      </c>
      <c r="O90">
        <v>14760</v>
      </c>
      <c r="P90">
        <v>0</v>
      </c>
      <c r="Q90">
        <v>14760</v>
      </c>
      <c r="R90">
        <v>3</v>
      </c>
      <c r="S90" s="15">
        <f t="shared" si="1"/>
        <v>45870</v>
      </c>
    </row>
    <row r="91" spans="1:19">
      <c r="A91" t="s">
        <v>166</v>
      </c>
      <c r="B91" s="2">
        <v>45885</v>
      </c>
      <c r="C91" t="s">
        <v>29</v>
      </c>
      <c r="D91" t="s">
        <v>30</v>
      </c>
      <c r="E91" t="s">
        <v>21</v>
      </c>
      <c r="F91" t="s">
        <v>22</v>
      </c>
      <c r="G91" t="s">
        <v>37</v>
      </c>
      <c r="H91" t="s">
        <v>24</v>
      </c>
      <c r="I91">
        <v>3</v>
      </c>
      <c r="J91">
        <v>59340</v>
      </c>
      <c r="K91">
        <v>0.1</v>
      </c>
      <c r="L91" t="s">
        <v>54</v>
      </c>
      <c r="M91" t="s">
        <v>50</v>
      </c>
      <c r="N91" t="s">
        <v>27</v>
      </c>
      <c r="O91">
        <v>178020</v>
      </c>
      <c r="P91">
        <v>17802</v>
      </c>
      <c r="Q91">
        <v>160218</v>
      </c>
      <c r="R91">
        <v>2</v>
      </c>
      <c r="S91" s="15">
        <f t="shared" si="1"/>
        <v>45870</v>
      </c>
    </row>
    <row r="92" spans="1:19">
      <c r="A92" t="s">
        <v>167</v>
      </c>
      <c r="B92" s="2">
        <v>45887</v>
      </c>
      <c r="C92" t="s">
        <v>40</v>
      </c>
      <c r="D92" t="s">
        <v>115</v>
      </c>
      <c r="E92" t="s">
        <v>42</v>
      </c>
      <c r="F92" t="s">
        <v>22</v>
      </c>
      <c r="G92" t="s">
        <v>101</v>
      </c>
      <c r="H92" t="s">
        <v>33</v>
      </c>
      <c r="I92">
        <v>1</v>
      </c>
      <c r="J92">
        <v>1740</v>
      </c>
      <c r="K92">
        <v>0.15</v>
      </c>
      <c r="L92" t="s">
        <v>34</v>
      </c>
      <c r="M92" t="s">
        <v>50</v>
      </c>
      <c r="N92" t="s">
        <v>27</v>
      </c>
      <c r="O92">
        <v>1740</v>
      </c>
      <c r="P92">
        <v>261</v>
      </c>
      <c r="Q92">
        <v>1479</v>
      </c>
      <c r="R92">
        <v>5</v>
      </c>
      <c r="S92" s="15">
        <f t="shared" si="1"/>
        <v>45870</v>
      </c>
    </row>
    <row r="93" spans="1:19">
      <c r="A93" t="s">
        <v>168</v>
      </c>
      <c r="B93" s="2">
        <v>45887</v>
      </c>
      <c r="C93" t="s">
        <v>29</v>
      </c>
      <c r="D93" t="s">
        <v>30</v>
      </c>
      <c r="E93" t="s">
        <v>21</v>
      </c>
      <c r="F93" t="s">
        <v>31</v>
      </c>
      <c r="G93" t="s">
        <v>62</v>
      </c>
      <c r="H93" t="s">
        <v>33</v>
      </c>
      <c r="I93">
        <v>2</v>
      </c>
      <c r="J93">
        <v>1820</v>
      </c>
      <c r="K93">
        <v>0.08</v>
      </c>
      <c r="L93" t="s">
        <v>68</v>
      </c>
      <c r="M93" t="s">
        <v>50</v>
      </c>
      <c r="N93" t="s">
        <v>27</v>
      </c>
      <c r="O93">
        <v>3640</v>
      </c>
      <c r="P93">
        <v>291.2</v>
      </c>
      <c r="Q93">
        <v>3348.8</v>
      </c>
      <c r="R93">
        <v>6</v>
      </c>
      <c r="S93" s="15">
        <f t="shared" si="1"/>
        <v>45870</v>
      </c>
    </row>
    <row r="94" spans="1:19">
      <c r="A94" t="s">
        <v>169</v>
      </c>
      <c r="B94" s="2">
        <v>45888</v>
      </c>
      <c r="C94" t="s">
        <v>19</v>
      </c>
      <c r="D94" t="s">
        <v>103</v>
      </c>
      <c r="E94" t="s">
        <v>42</v>
      </c>
      <c r="F94" t="s">
        <v>31</v>
      </c>
      <c r="G94" t="s">
        <v>73</v>
      </c>
      <c r="H94" t="s">
        <v>74</v>
      </c>
      <c r="I94">
        <v>3</v>
      </c>
      <c r="J94">
        <v>11710</v>
      </c>
      <c r="K94">
        <v>0.03</v>
      </c>
      <c r="L94" t="s">
        <v>54</v>
      </c>
      <c r="M94" t="s">
        <v>71</v>
      </c>
      <c r="N94" t="s">
        <v>27</v>
      </c>
      <c r="O94">
        <v>35130</v>
      </c>
      <c r="P94">
        <v>1053.9000000000001</v>
      </c>
      <c r="Q94">
        <v>34076.1</v>
      </c>
      <c r="R94">
        <v>4</v>
      </c>
      <c r="S94" s="15">
        <f t="shared" si="1"/>
        <v>45870</v>
      </c>
    </row>
    <row r="95" spans="1:19">
      <c r="A95" t="s">
        <v>170</v>
      </c>
      <c r="B95" s="2">
        <v>45889</v>
      </c>
      <c r="C95" t="s">
        <v>29</v>
      </c>
      <c r="D95" t="s">
        <v>78</v>
      </c>
      <c r="E95" t="s">
        <v>21</v>
      </c>
      <c r="F95" t="s">
        <v>31</v>
      </c>
      <c r="G95" t="s">
        <v>73</v>
      </c>
      <c r="H95" t="s">
        <v>74</v>
      </c>
      <c r="I95">
        <v>2</v>
      </c>
      <c r="J95">
        <v>11560</v>
      </c>
      <c r="K95">
        <v>0.05</v>
      </c>
      <c r="L95" t="s">
        <v>68</v>
      </c>
      <c r="M95" t="s">
        <v>35</v>
      </c>
      <c r="N95" t="s">
        <v>27</v>
      </c>
      <c r="O95">
        <v>23120</v>
      </c>
      <c r="P95">
        <v>1156</v>
      </c>
      <c r="Q95">
        <v>21964</v>
      </c>
      <c r="R95">
        <v>3</v>
      </c>
      <c r="S95" s="15">
        <f t="shared" si="1"/>
        <v>45870</v>
      </c>
    </row>
    <row r="96" spans="1:19">
      <c r="A96" t="s">
        <v>171</v>
      </c>
      <c r="B96" s="2">
        <v>45889</v>
      </c>
      <c r="C96" t="s">
        <v>29</v>
      </c>
      <c r="D96" t="s">
        <v>78</v>
      </c>
      <c r="E96" t="s">
        <v>42</v>
      </c>
      <c r="F96" t="s">
        <v>22</v>
      </c>
      <c r="G96" t="s">
        <v>105</v>
      </c>
      <c r="H96" t="s">
        <v>24</v>
      </c>
      <c r="I96">
        <v>2</v>
      </c>
      <c r="J96">
        <v>3290</v>
      </c>
      <c r="K96">
        <v>0.1</v>
      </c>
      <c r="L96" t="s">
        <v>68</v>
      </c>
      <c r="M96" t="s">
        <v>38</v>
      </c>
      <c r="N96" t="s">
        <v>27</v>
      </c>
      <c r="O96">
        <v>6580</v>
      </c>
      <c r="P96">
        <v>658</v>
      </c>
      <c r="Q96">
        <v>5922</v>
      </c>
      <c r="R96">
        <v>1</v>
      </c>
      <c r="S96" s="15">
        <f t="shared" si="1"/>
        <v>45870</v>
      </c>
    </row>
    <row r="97" spans="1:19">
      <c r="A97" t="s">
        <v>172</v>
      </c>
      <c r="B97" s="2">
        <v>45890</v>
      </c>
      <c r="C97" t="s">
        <v>40</v>
      </c>
      <c r="D97" t="s">
        <v>47</v>
      </c>
      <c r="E97" t="s">
        <v>42</v>
      </c>
      <c r="F97" t="s">
        <v>22</v>
      </c>
      <c r="G97" t="s">
        <v>73</v>
      </c>
      <c r="H97" t="s">
        <v>74</v>
      </c>
      <c r="I97">
        <v>2</v>
      </c>
      <c r="J97">
        <v>12160</v>
      </c>
      <c r="K97">
        <v>0.08</v>
      </c>
      <c r="L97" t="s">
        <v>54</v>
      </c>
      <c r="M97" t="s">
        <v>44</v>
      </c>
      <c r="N97" t="s">
        <v>27</v>
      </c>
      <c r="O97">
        <v>24320</v>
      </c>
      <c r="P97">
        <v>1945.6</v>
      </c>
      <c r="Q97">
        <v>22374.400000000001</v>
      </c>
      <c r="R97">
        <v>5</v>
      </c>
      <c r="S97" s="15">
        <f t="shared" si="1"/>
        <v>45870</v>
      </c>
    </row>
    <row r="98" spans="1:19">
      <c r="A98" t="s">
        <v>173</v>
      </c>
      <c r="B98" s="2">
        <v>45890</v>
      </c>
      <c r="C98" t="s">
        <v>29</v>
      </c>
      <c r="D98" t="s">
        <v>30</v>
      </c>
      <c r="E98" t="s">
        <v>42</v>
      </c>
      <c r="F98" t="s">
        <v>22</v>
      </c>
      <c r="G98" t="s">
        <v>58</v>
      </c>
      <c r="H98" t="s">
        <v>59</v>
      </c>
      <c r="I98">
        <v>1</v>
      </c>
      <c r="J98">
        <v>6800</v>
      </c>
      <c r="K98">
        <v>0</v>
      </c>
      <c r="L98" t="s">
        <v>64</v>
      </c>
      <c r="M98" t="s">
        <v>66</v>
      </c>
      <c r="N98" t="s">
        <v>27</v>
      </c>
      <c r="O98">
        <v>6800</v>
      </c>
      <c r="P98">
        <v>0</v>
      </c>
      <c r="Q98">
        <v>6800</v>
      </c>
      <c r="R98">
        <v>4</v>
      </c>
      <c r="S98" s="15">
        <f t="shared" si="1"/>
        <v>45870</v>
      </c>
    </row>
    <row r="99" spans="1:19">
      <c r="A99" t="s">
        <v>174</v>
      </c>
      <c r="B99" s="2">
        <v>45890</v>
      </c>
      <c r="C99" t="s">
        <v>29</v>
      </c>
      <c r="D99" t="s">
        <v>78</v>
      </c>
      <c r="E99" t="s">
        <v>42</v>
      </c>
      <c r="F99" t="s">
        <v>31</v>
      </c>
      <c r="G99" t="s">
        <v>48</v>
      </c>
      <c r="H99" t="s">
        <v>49</v>
      </c>
      <c r="I99">
        <v>2</v>
      </c>
      <c r="J99">
        <v>13290</v>
      </c>
      <c r="K99">
        <v>0.15</v>
      </c>
      <c r="L99" t="s">
        <v>34</v>
      </c>
      <c r="M99" t="s">
        <v>38</v>
      </c>
      <c r="N99" t="s">
        <v>27</v>
      </c>
      <c r="O99">
        <v>26580</v>
      </c>
      <c r="P99">
        <v>3987</v>
      </c>
      <c r="Q99">
        <v>22593</v>
      </c>
      <c r="R99">
        <v>1</v>
      </c>
      <c r="S99" s="15">
        <f t="shared" si="1"/>
        <v>45870</v>
      </c>
    </row>
    <row r="100" spans="1:19">
      <c r="A100" t="s">
        <v>175</v>
      </c>
      <c r="B100" s="2">
        <v>45890</v>
      </c>
      <c r="C100" t="s">
        <v>40</v>
      </c>
      <c r="D100" t="s">
        <v>89</v>
      </c>
      <c r="E100" t="s">
        <v>42</v>
      </c>
      <c r="F100" t="s">
        <v>31</v>
      </c>
      <c r="G100" t="s">
        <v>101</v>
      </c>
      <c r="H100" t="s">
        <v>33</v>
      </c>
      <c r="I100">
        <v>2</v>
      </c>
      <c r="J100">
        <v>1680</v>
      </c>
      <c r="K100">
        <v>0.08</v>
      </c>
      <c r="L100" t="s">
        <v>34</v>
      </c>
      <c r="M100" t="s">
        <v>55</v>
      </c>
      <c r="N100" t="s">
        <v>27</v>
      </c>
      <c r="O100">
        <v>3360</v>
      </c>
      <c r="P100">
        <v>268.8</v>
      </c>
      <c r="Q100">
        <v>3091.2</v>
      </c>
      <c r="R100">
        <v>7</v>
      </c>
      <c r="S100" s="15">
        <f t="shared" si="1"/>
        <v>45870</v>
      </c>
    </row>
    <row r="101" spans="1:19">
      <c r="A101" t="s">
        <v>176</v>
      </c>
      <c r="B101" s="2">
        <v>45891</v>
      </c>
      <c r="C101" t="s">
        <v>19</v>
      </c>
      <c r="D101" t="s">
        <v>57</v>
      </c>
      <c r="E101" t="s">
        <v>42</v>
      </c>
      <c r="F101" t="s">
        <v>22</v>
      </c>
      <c r="G101" t="s">
        <v>95</v>
      </c>
      <c r="H101" t="s">
        <v>24</v>
      </c>
      <c r="I101">
        <v>3</v>
      </c>
      <c r="J101">
        <v>21180</v>
      </c>
      <c r="K101">
        <v>0.03</v>
      </c>
      <c r="L101" t="s">
        <v>68</v>
      </c>
      <c r="M101" t="s">
        <v>66</v>
      </c>
      <c r="N101" t="s">
        <v>27</v>
      </c>
      <c r="O101">
        <v>63540</v>
      </c>
      <c r="P101">
        <v>1906.2</v>
      </c>
      <c r="Q101">
        <v>61633.8</v>
      </c>
      <c r="R101">
        <v>3</v>
      </c>
      <c r="S101" s="15">
        <f t="shared" si="1"/>
        <v>45870</v>
      </c>
    </row>
    <row r="102" spans="1:19">
      <c r="A102" t="s">
        <v>177</v>
      </c>
      <c r="B102" s="2">
        <v>45891</v>
      </c>
      <c r="C102" t="s">
        <v>82</v>
      </c>
      <c r="D102" t="s">
        <v>178</v>
      </c>
      <c r="E102" t="s">
        <v>42</v>
      </c>
      <c r="F102" t="s">
        <v>22</v>
      </c>
      <c r="G102" t="s">
        <v>105</v>
      </c>
      <c r="H102" t="s">
        <v>24</v>
      </c>
      <c r="I102">
        <v>2</v>
      </c>
      <c r="J102">
        <v>3380</v>
      </c>
      <c r="K102">
        <v>0.05</v>
      </c>
      <c r="L102" t="s">
        <v>54</v>
      </c>
      <c r="M102" t="s">
        <v>35</v>
      </c>
      <c r="N102" t="s">
        <v>27</v>
      </c>
      <c r="O102">
        <v>6760</v>
      </c>
      <c r="P102">
        <v>338</v>
      </c>
      <c r="Q102">
        <v>6422</v>
      </c>
      <c r="R102">
        <v>1</v>
      </c>
      <c r="S102" s="15">
        <f t="shared" si="1"/>
        <v>45870</v>
      </c>
    </row>
    <row r="103" spans="1:19">
      <c r="A103" t="s">
        <v>179</v>
      </c>
      <c r="B103" s="2">
        <v>45891</v>
      </c>
      <c r="C103" t="s">
        <v>19</v>
      </c>
      <c r="D103" t="s">
        <v>52</v>
      </c>
      <c r="E103" t="s">
        <v>42</v>
      </c>
      <c r="F103" t="s">
        <v>22</v>
      </c>
      <c r="G103" t="s">
        <v>105</v>
      </c>
      <c r="H103" t="s">
        <v>24</v>
      </c>
      <c r="I103">
        <v>1</v>
      </c>
      <c r="J103">
        <v>3300</v>
      </c>
      <c r="K103">
        <v>0.03</v>
      </c>
      <c r="L103" t="s">
        <v>54</v>
      </c>
      <c r="M103" t="s">
        <v>71</v>
      </c>
      <c r="N103" t="s">
        <v>27</v>
      </c>
      <c r="O103">
        <v>3300</v>
      </c>
      <c r="P103">
        <v>99</v>
      </c>
      <c r="Q103">
        <v>3201</v>
      </c>
      <c r="R103">
        <v>4</v>
      </c>
      <c r="S103" s="15">
        <f t="shared" si="1"/>
        <v>45870</v>
      </c>
    </row>
    <row r="104" spans="1:19">
      <c r="A104" t="s">
        <v>180</v>
      </c>
      <c r="B104" s="2">
        <v>45891</v>
      </c>
      <c r="C104" t="s">
        <v>82</v>
      </c>
      <c r="D104" t="s">
        <v>178</v>
      </c>
      <c r="E104" t="s">
        <v>21</v>
      </c>
      <c r="F104" t="s">
        <v>22</v>
      </c>
      <c r="G104" t="s">
        <v>58</v>
      </c>
      <c r="H104" t="s">
        <v>59</v>
      </c>
      <c r="I104">
        <v>5</v>
      </c>
      <c r="J104">
        <v>7230</v>
      </c>
      <c r="K104">
        <v>0.05</v>
      </c>
      <c r="L104" t="s">
        <v>34</v>
      </c>
      <c r="M104" t="s">
        <v>71</v>
      </c>
      <c r="N104" t="s">
        <v>27</v>
      </c>
      <c r="O104">
        <v>36150</v>
      </c>
      <c r="P104">
        <v>1807.5</v>
      </c>
      <c r="Q104">
        <v>34342.5</v>
      </c>
      <c r="R104">
        <v>6</v>
      </c>
      <c r="S104" s="15">
        <f t="shared" si="1"/>
        <v>45870</v>
      </c>
    </row>
    <row r="105" spans="1:19">
      <c r="A105" t="s">
        <v>181</v>
      </c>
      <c r="B105" s="2">
        <v>45891</v>
      </c>
      <c r="C105" t="s">
        <v>40</v>
      </c>
      <c r="D105" t="s">
        <v>41</v>
      </c>
      <c r="E105" t="s">
        <v>42</v>
      </c>
      <c r="F105" t="s">
        <v>31</v>
      </c>
      <c r="G105" t="s">
        <v>62</v>
      </c>
      <c r="H105" t="s">
        <v>33</v>
      </c>
      <c r="I105">
        <v>1</v>
      </c>
      <c r="J105">
        <v>1720</v>
      </c>
      <c r="K105">
        <v>0</v>
      </c>
      <c r="L105" t="s">
        <v>54</v>
      </c>
      <c r="M105" t="s">
        <v>50</v>
      </c>
      <c r="N105" t="s">
        <v>27</v>
      </c>
      <c r="O105">
        <v>1720</v>
      </c>
      <c r="P105">
        <v>0</v>
      </c>
      <c r="Q105">
        <v>1720</v>
      </c>
      <c r="R105">
        <v>2</v>
      </c>
      <c r="S105" s="15">
        <f t="shared" si="1"/>
        <v>45870</v>
      </c>
    </row>
    <row r="106" spans="1:19">
      <c r="A106" t="s">
        <v>182</v>
      </c>
      <c r="B106" s="2">
        <v>45891</v>
      </c>
      <c r="C106" t="s">
        <v>29</v>
      </c>
      <c r="D106" t="s">
        <v>78</v>
      </c>
      <c r="E106" t="s">
        <v>42</v>
      </c>
      <c r="F106" t="s">
        <v>31</v>
      </c>
      <c r="G106" t="s">
        <v>101</v>
      </c>
      <c r="H106" t="s">
        <v>33</v>
      </c>
      <c r="I106">
        <v>1</v>
      </c>
      <c r="J106">
        <v>1840</v>
      </c>
      <c r="K106">
        <v>0.08</v>
      </c>
      <c r="L106" t="s">
        <v>64</v>
      </c>
      <c r="M106" t="s">
        <v>55</v>
      </c>
      <c r="N106" t="s">
        <v>27</v>
      </c>
      <c r="O106">
        <v>1840</v>
      </c>
      <c r="P106">
        <v>147.19999999999999</v>
      </c>
      <c r="Q106">
        <v>1692.8</v>
      </c>
      <c r="R106">
        <v>4</v>
      </c>
      <c r="S106" s="15">
        <f t="shared" si="1"/>
        <v>45870</v>
      </c>
    </row>
    <row r="107" spans="1:19">
      <c r="A107" t="s">
        <v>183</v>
      </c>
      <c r="B107" s="2">
        <v>45891</v>
      </c>
      <c r="C107" t="s">
        <v>29</v>
      </c>
      <c r="D107" t="s">
        <v>61</v>
      </c>
      <c r="E107" t="s">
        <v>21</v>
      </c>
      <c r="F107" t="s">
        <v>31</v>
      </c>
      <c r="G107" t="s">
        <v>43</v>
      </c>
      <c r="H107" t="s">
        <v>33</v>
      </c>
      <c r="I107">
        <v>2</v>
      </c>
      <c r="J107">
        <v>920</v>
      </c>
      <c r="K107">
        <v>0.08</v>
      </c>
      <c r="L107" t="s">
        <v>64</v>
      </c>
      <c r="M107" t="s">
        <v>38</v>
      </c>
      <c r="N107" t="s">
        <v>27</v>
      </c>
      <c r="O107">
        <v>1840</v>
      </c>
      <c r="P107">
        <v>147.19999999999999</v>
      </c>
      <c r="Q107">
        <v>1692.8</v>
      </c>
      <c r="R107">
        <v>2</v>
      </c>
      <c r="S107" s="15">
        <f t="shared" si="1"/>
        <v>45870</v>
      </c>
    </row>
    <row r="108" spans="1:19">
      <c r="A108" t="s">
        <v>184</v>
      </c>
      <c r="B108" s="2">
        <v>45893</v>
      </c>
      <c r="C108" t="s">
        <v>40</v>
      </c>
      <c r="D108" t="s">
        <v>89</v>
      </c>
      <c r="E108" t="s">
        <v>42</v>
      </c>
      <c r="F108" t="s">
        <v>22</v>
      </c>
      <c r="G108" t="s">
        <v>149</v>
      </c>
      <c r="H108" t="s">
        <v>33</v>
      </c>
      <c r="I108">
        <v>1</v>
      </c>
      <c r="J108">
        <v>3620</v>
      </c>
      <c r="K108">
        <v>0.15</v>
      </c>
      <c r="L108" t="s">
        <v>34</v>
      </c>
      <c r="M108" t="s">
        <v>50</v>
      </c>
      <c r="N108" t="s">
        <v>27</v>
      </c>
      <c r="O108">
        <v>3620</v>
      </c>
      <c r="P108">
        <v>543</v>
      </c>
      <c r="Q108">
        <v>3077</v>
      </c>
      <c r="R108">
        <v>6</v>
      </c>
      <c r="S108" s="15">
        <f t="shared" si="1"/>
        <v>45870</v>
      </c>
    </row>
    <row r="109" spans="1:19">
      <c r="A109" t="s">
        <v>185</v>
      </c>
      <c r="B109" s="2">
        <v>45893</v>
      </c>
      <c r="C109" t="s">
        <v>40</v>
      </c>
      <c r="D109" t="s">
        <v>89</v>
      </c>
      <c r="E109" t="s">
        <v>42</v>
      </c>
      <c r="F109" t="s">
        <v>22</v>
      </c>
      <c r="G109" t="s">
        <v>23</v>
      </c>
      <c r="H109" t="s">
        <v>24</v>
      </c>
      <c r="I109">
        <v>1</v>
      </c>
      <c r="J109">
        <v>27090</v>
      </c>
      <c r="K109">
        <v>0.08</v>
      </c>
      <c r="L109" t="s">
        <v>34</v>
      </c>
      <c r="M109" t="s">
        <v>66</v>
      </c>
      <c r="N109" t="s">
        <v>27</v>
      </c>
      <c r="O109">
        <v>27090</v>
      </c>
      <c r="P109">
        <v>2167.1999999999998</v>
      </c>
      <c r="Q109">
        <v>24922.799999999999</v>
      </c>
      <c r="R109">
        <v>2</v>
      </c>
      <c r="S109" s="15">
        <f t="shared" si="1"/>
        <v>45870</v>
      </c>
    </row>
    <row r="110" spans="1:19">
      <c r="A110" t="s">
        <v>186</v>
      </c>
      <c r="B110" s="2">
        <v>45895</v>
      </c>
      <c r="C110" t="s">
        <v>19</v>
      </c>
      <c r="D110" t="s">
        <v>52</v>
      </c>
      <c r="E110" t="s">
        <v>42</v>
      </c>
      <c r="F110" t="s">
        <v>22</v>
      </c>
      <c r="G110" t="s">
        <v>92</v>
      </c>
      <c r="H110" t="s">
        <v>24</v>
      </c>
      <c r="I110">
        <v>1</v>
      </c>
      <c r="J110">
        <v>17210</v>
      </c>
      <c r="K110">
        <v>0.08</v>
      </c>
      <c r="L110" t="s">
        <v>64</v>
      </c>
      <c r="M110" t="s">
        <v>66</v>
      </c>
      <c r="N110" t="s">
        <v>27</v>
      </c>
      <c r="O110">
        <v>17210</v>
      </c>
      <c r="P110">
        <v>1376.8</v>
      </c>
      <c r="Q110">
        <v>15833.2</v>
      </c>
      <c r="R110">
        <v>4</v>
      </c>
      <c r="S110" s="15">
        <f t="shared" si="1"/>
        <v>45870</v>
      </c>
    </row>
    <row r="111" spans="1:19">
      <c r="A111" t="s">
        <v>187</v>
      </c>
      <c r="B111" s="2">
        <v>45896</v>
      </c>
      <c r="C111" t="s">
        <v>19</v>
      </c>
      <c r="D111" t="s">
        <v>20</v>
      </c>
      <c r="E111" t="s">
        <v>42</v>
      </c>
      <c r="F111" t="s">
        <v>22</v>
      </c>
      <c r="G111" t="s">
        <v>62</v>
      </c>
      <c r="H111" t="s">
        <v>33</v>
      </c>
      <c r="I111">
        <v>1</v>
      </c>
      <c r="J111">
        <v>1900</v>
      </c>
      <c r="K111">
        <v>0.05</v>
      </c>
      <c r="L111" t="s">
        <v>68</v>
      </c>
      <c r="M111" t="s">
        <v>38</v>
      </c>
      <c r="N111" t="s">
        <v>27</v>
      </c>
      <c r="O111">
        <v>1900</v>
      </c>
      <c r="P111">
        <v>95</v>
      </c>
      <c r="Q111">
        <v>1805</v>
      </c>
      <c r="R111">
        <v>2</v>
      </c>
      <c r="S111" s="15">
        <f t="shared" si="1"/>
        <v>45870</v>
      </c>
    </row>
    <row r="112" spans="1:19">
      <c r="A112" t="s">
        <v>188</v>
      </c>
      <c r="B112" s="2">
        <v>45896</v>
      </c>
      <c r="C112" t="s">
        <v>40</v>
      </c>
      <c r="D112" t="s">
        <v>89</v>
      </c>
      <c r="E112" t="s">
        <v>42</v>
      </c>
      <c r="F112" t="s">
        <v>22</v>
      </c>
      <c r="G112" t="s">
        <v>48</v>
      </c>
      <c r="H112" t="s">
        <v>49</v>
      </c>
      <c r="I112">
        <v>1</v>
      </c>
      <c r="J112">
        <v>12880</v>
      </c>
      <c r="K112">
        <v>0.15</v>
      </c>
      <c r="L112" t="s">
        <v>54</v>
      </c>
      <c r="M112" t="s">
        <v>38</v>
      </c>
      <c r="N112" t="s">
        <v>27</v>
      </c>
      <c r="O112">
        <v>12880</v>
      </c>
      <c r="P112">
        <v>1932</v>
      </c>
      <c r="Q112">
        <v>10948</v>
      </c>
      <c r="R112">
        <v>4</v>
      </c>
      <c r="S112" s="15">
        <f t="shared" si="1"/>
        <v>45870</v>
      </c>
    </row>
    <row r="113" spans="1:19">
      <c r="A113" t="s">
        <v>189</v>
      </c>
      <c r="B113" s="2">
        <v>45897</v>
      </c>
      <c r="C113" t="s">
        <v>40</v>
      </c>
      <c r="D113" t="s">
        <v>89</v>
      </c>
      <c r="E113" t="s">
        <v>42</v>
      </c>
      <c r="F113" t="s">
        <v>53</v>
      </c>
      <c r="G113" t="s">
        <v>48</v>
      </c>
      <c r="H113" t="s">
        <v>49</v>
      </c>
      <c r="I113">
        <v>1</v>
      </c>
      <c r="J113">
        <v>12720</v>
      </c>
      <c r="K113">
        <v>0.05</v>
      </c>
      <c r="L113" t="s">
        <v>68</v>
      </c>
      <c r="M113" t="s">
        <v>55</v>
      </c>
      <c r="N113" t="s">
        <v>27</v>
      </c>
      <c r="O113">
        <v>12720</v>
      </c>
      <c r="P113">
        <v>636</v>
      </c>
      <c r="Q113">
        <v>12084</v>
      </c>
      <c r="R113">
        <v>6</v>
      </c>
      <c r="S113" s="15">
        <f t="shared" si="1"/>
        <v>45870</v>
      </c>
    </row>
    <row r="114" spans="1:19">
      <c r="A114" t="s">
        <v>190</v>
      </c>
      <c r="B114" s="2">
        <v>45897</v>
      </c>
      <c r="C114" t="s">
        <v>19</v>
      </c>
      <c r="D114" t="s">
        <v>103</v>
      </c>
      <c r="E114" t="s">
        <v>42</v>
      </c>
      <c r="F114" t="s">
        <v>22</v>
      </c>
      <c r="G114" t="s">
        <v>62</v>
      </c>
      <c r="H114" t="s">
        <v>33</v>
      </c>
      <c r="I114">
        <v>2</v>
      </c>
      <c r="J114">
        <v>1730</v>
      </c>
      <c r="K114">
        <v>0.1</v>
      </c>
      <c r="L114" t="s">
        <v>68</v>
      </c>
      <c r="M114" t="s">
        <v>71</v>
      </c>
      <c r="N114" t="s">
        <v>27</v>
      </c>
      <c r="O114">
        <v>3460</v>
      </c>
      <c r="P114">
        <v>346</v>
      </c>
      <c r="Q114">
        <v>3114</v>
      </c>
      <c r="R114">
        <v>3</v>
      </c>
      <c r="S114" s="15">
        <f t="shared" si="1"/>
        <v>45870</v>
      </c>
    </row>
    <row r="115" spans="1:19">
      <c r="A115" t="s">
        <v>191</v>
      </c>
      <c r="B115" s="2">
        <v>45897</v>
      </c>
      <c r="C115" t="s">
        <v>40</v>
      </c>
      <c r="D115" t="s">
        <v>41</v>
      </c>
      <c r="E115" t="s">
        <v>42</v>
      </c>
      <c r="F115" t="s">
        <v>22</v>
      </c>
      <c r="G115" t="s">
        <v>48</v>
      </c>
      <c r="H115" t="s">
        <v>49</v>
      </c>
      <c r="I115">
        <v>2</v>
      </c>
      <c r="J115">
        <v>12320</v>
      </c>
      <c r="K115">
        <v>0</v>
      </c>
      <c r="L115" t="s">
        <v>25</v>
      </c>
      <c r="M115" t="s">
        <v>44</v>
      </c>
      <c r="N115" t="s">
        <v>27</v>
      </c>
      <c r="O115">
        <v>24640</v>
      </c>
      <c r="P115">
        <v>0</v>
      </c>
      <c r="Q115">
        <v>24640</v>
      </c>
      <c r="R115">
        <v>7</v>
      </c>
      <c r="S115" s="15">
        <f t="shared" si="1"/>
        <v>45870</v>
      </c>
    </row>
    <row r="116" spans="1:19">
      <c r="A116" t="s">
        <v>192</v>
      </c>
      <c r="B116" s="2">
        <v>45897</v>
      </c>
      <c r="C116" t="s">
        <v>29</v>
      </c>
      <c r="D116" t="s">
        <v>30</v>
      </c>
      <c r="E116" t="s">
        <v>70</v>
      </c>
      <c r="F116" t="s">
        <v>22</v>
      </c>
      <c r="G116" t="s">
        <v>105</v>
      </c>
      <c r="H116" t="s">
        <v>24</v>
      </c>
      <c r="I116">
        <v>1</v>
      </c>
      <c r="J116">
        <v>3080</v>
      </c>
      <c r="K116">
        <v>0.1</v>
      </c>
      <c r="L116" t="s">
        <v>64</v>
      </c>
      <c r="M116" t="s">
        <v>38</v>
      </c>
      <c r="N116" t="s">
        <v>27</v>
      </c>
      <c r="O116">
        <v>3080</v>
      </c>
      <c r="P116">
        <v>308</v>
      </c>
      <c r="Q116">
        <v>2772</v>
      </c>
      <c r="R116">
        <v>3</v>
      </c>
      <c r="S116" s="15">
        <f t="shared" si="1"/>
        <v>45870</v>
      </c>
    </row>
    <row r="117" spans="1:19">
      <c r="A117" t="s">
        <v>193</v>
      </c>
      <c r="B117" s="2">
        <v>45897</v>
      </c>
      <c r="C117" t="s">
        <v>82</v>
      </c>
      <c r="D117" t="s">
        <v>122</v>
      </c>
      <c r="E117" t="s">
        <v>42</v>
      </c>
      <c r="F117" t="s">
        <v>22</v>
      </c>
      <c r="G117" t="s">
        <v>43</v>
      </c>
      <c r="H117" t="s">
        <v>33</v>
      </c>
      <c r="I117">
        <v>3</v>
      </c>
      <c r="J117">
        <v>950</v>
      </c>
      <c r="K117">
        <v>0.05</v>
      </c>
      <c r="L117" t="s">
        <v>64</v>
      </c>
      <c r="M117" t="s">
        <v>26</v>
      </c>
      <c r="N117" t="s">
        <v>27</v>
      </c>
      <c r="O117">
        <v>2850</v>
      </c>
      <c r="P117">
        <v>142.5</v>
      </c>
      <c r="Q117">
        <v>2707.5</v>
      </c>
      <c r="R117">
        <v>3</v>
      </c>
      <c r="S117" s="15">
        <f t="shared" si="1"/>
        <v>45870</v>
      </c>
    </row>
    <row r="118" spans="1:19">
      <c r="A118" t="s">
        <v>194</v>
      </c>
      <c r="B118" s="2">
        <v>45897</v>
      </c>
      <c r="C118" t="s">
        <v>29</v>
      </c>
      <c r="D118" t="s">
        <v>30</v>
      </c>
      <c r="E118" t="s">
        <v>42</v>
      </c>
      <c r="F118" t="s">
        <v>53</v>
      </c>
      <c r="G118" t="s">
        <v>37</v>
      </c>
      <c r="H118" t="s">
        <v>24</v>
      </c>
      <c r="I118">
        <v>2</v>
      </c>
      <c r="J118">
        <v>58020</v>
      </c>
      <c r="K118">
        <v>0.03</v>
      </c>
      <c r="L118" t="s">
        <v>54</v>
      </c>
      <c r="M118" t="s">
        <v>38</v>
      </c>
      <c r="N118" t="s">
        <v>27</v>
      </c>
      <c r="O118">
        <v>116040</v>
      </c>
      <c r="P118">
        <v>3481.2</v>
      </c>
      <c r="Q118">
        <v>112558.8</v>
      </c>
      <c r="R118">
        <v>6</v>
      </c>
      <c r="S118" s="15">
        <f t="shared" si="1"/>
        <v>45870</v>
      </c>
    </row>
    <row r="119" spans="1:19">
      <c r="A119" t="s">
        <v>195</v>
      </c>
      <c r="B119" s="2">
        <v>45898</v>
      </c>
      <c r="C119" t="s">
        <v>82</v>
      </c>
      <c r="D119" t="s">
        <v>178</v>
      </c>
      <c r="E119" t="s">
        <v>42</v>
      </c>
      <c r="F119" t="s">
        <v>53</v>
      </c>
      <c r="G119" t="s">
        <v>105</v>
      </c>
      <c r="H119" t="s">
        <v>24</v>
      </c>
      <c r="I119">
        <v>1</v>
      </c>
      <c r="J119">
        <v>3330</v>
      </c>
      <c r="K119">
        <v>0.05</v>
      </c>
      <c r="L119" t="s">
        <v>34</v>
      </c>
      <c r="M119" t="s">
        <v>55</v>
      </c>
      <c r="N119" t="s">
        <v>27</v>
      </c>
      <c r="O119">
        <v>3330</v>
      </c>
      <c r="P119">
        <v>166.5</v>
      </c>
      <c r="Q119">
        <v>3163.5</v>
      </c>
      <c r="R119">
        <v>4</v>
      </c>
      <c r="S119" s="15">
        <f t="shared" si="1"/>
        <v>45870</v>
      </c>
    </row>
    <row r="120" spans="1:19">
      <c r="A120" t="s">
        <v>196</v>
      </c>
      <c r="B120" s="2">
        <v>45898</v>
      </c>
      <c r="C120" t="s">
        <v>19</v>
      </c>
      <c r="D120" t="s">
        <v>103</v>
      </c>
      <c r="E120" t="s">
        <v>21</v>
      </c>
      <c r="F120" t="s">
        <v>22</v>
      </c>
      <c r="G120" t="s">
        <v>73</v>
      </c>
      <c r="H120" t="s">
        <v>74</v>
      </c>
      <c r="I120">
        <v>2</v>
      </c>
      <c r="J120">
        <v>10780</v>
      </c>
      <c r="K120">
        <v>0.08</v>
      </c>
      <c r="L120" t="s">
        <v>54</v>
      </c>
      <c r="M120" t="s">
        <v>71</v>
      </c>
      <c r="N120" t="s">
        <v>27</v>
      </c>
      <c r="O120">
        <v>21560</v>
      </c>
      <c r="P120">
        <v>1724.8</v>
      </c>
      <c r="Q120">
        <v>19835.2</v>
      </c>
      <c r="R120">
        <v>2</v>
      </c>
      <c r="S120" s="15">
        <f t="shared" si="1"/>
        <v>45870</v>
      </c>
    </row>
    <row r="121" spans="1:19">
      <c r="A121" t="s">
        <v>197</v>
      </c>
      <c r="B121" s="2">
        <v>45901</v>
      </c>
      <c r="C121" t="s">
        <v>40</v>
      </c>
      <c r="D121" t="s">
        <v>115</v>
      </c>
      <c r="E121" t="s">
        <v>21</v>
      </c>
      <c r="F121" t="s">
        <v>31</v>
      </c>
      <c r="G121" t="s">
        <v>149</v>
      </c>
      <c r="H121" t="s">
        <v>33</v>
      </c>
      <c r="I121">
        <v>1</v>
      </c>
      <c r="J121">
        <v>3750</v>
      </c>
      <c r="K121">
        <v>0.08</v>
      </c>
      <c r="L121" t="s">
        <v>64</v>
      </c>
      <c r="M121" t="s">
        <v>26</v>
      </c>
      <c r="N121" t="s">
        <v>45</v>
      </c>
      <c r="O121">
        <v>0</v>
      </c>
      <c r="P121">
        <v>0</v>
      </c>
      <c r="Q121">
        <v>0</v>
      </c>
      <c r="S121" s="15">
        <f t="shared" si="1"/>
        <v>45901</v>
      </c>
    </row>
    <row r="122" spans="1:19">
      <c r="A122" t="s">
        <v>198</v>
      </c>
      <c r="B122" s="2">
        <v>45901</v>
      </c>
      <c r="C122" t="s">
        <v>29</v>
      </c>
      <c r="D122" t="s">
        <v>30</v>
      </c>
      <c r="E122" t="s">
        <v>21</v>
      </c>
      <c r="F122" t="s">
        <v>22</v>
      </c>
      <c r="G122" t="s">
        <v>43</v>
      </c>
      <c r="H122" t="s">
        <v>33</v>
      </c>
      <c r="I122">
        <v>1</v>
      </c>
      <c r="J122">
        <v>910</v>
      </c>
      <c r="K122">
        <v>0.15</v>
      </c>
      <c r="L122" t="s">
        <v>54</v>
      </c>
      <c r="M122" t="s">
        <v>66</v>
      </c>
      <c r="N122" t="s">
        <v>27</v>
      </c>
      <c r="O122">
        <v>910</v>
      </c>
      <c r="P122">
        <v>136.5</v>
      </c>
      <c r="Q122">
        <v>773.5</v>
      </c>
      <c r="R122">
        <v>3</v>
      </c>
      <c r="S122" s="15">
        <f t="shared" si="1"/>
        <v>45901</v>
      </c>
    </row>
    <row r="123" spans="1:19">
      <c r="A123" t="s">
        <v>199</v>
      </c>
      <c r="B123" s="2">
        <v>45901</v>
      </c>
      <c r="C123" t="s">
        <v>29</v>
      </c>
      <c r="D123" t="s">
        <v>30</v>
      </c>
      <c r="E123" t="s">
        <v>70</v>
      </c>
      <c r="F123" t="s">
        <v>22</v>
      </c>
      <c r="G123" t="s">
        <v>23</v>
      </c>
      <c r="H123" t="s">
        <v>24</v>
      </c>
      <c r="I123">
        <v>4</v>
      </c>
      <c r="J123">
        <v>27810</v>
      </c>
      <c r="K123">
        <v>0.03</v>
      </c>
      <c r="L123" t="s">
        <v>68</v>
      </c>
      <c r="M123" t="s">
        <v>55</v>
      </c>
      <c r="N123" t="s">
        <v>27</v>
      </c>
      <c r="O123">
        <v>111240</v>
      </c>
      <c r="P123">
        <v>3337.2</v>
      </c>
      <c r="Q123">
        <v>107902.8</v>
      </c>
      <c r="R123">
        <v>5</v>
      </c>
      <c r="S123" s="15">
        <f t="shared" si="1"/>
        <v>45901</v>
      </c>
    </row>
    <row r="124" spans="1:19">
      <c r="A124" t="s">
        <v>200</v>
      </c>
      <c r="B124" s="2">
        <v>45903</v>
      </c>
      <c r="C124" t="s">
        <v>40</v>
      </c>
      <c r="D124" t="s">
        <v>89</v>
      </c>
      <c r="E124" t="s">
        <v>42</v>
      </c>
      <c r="F124" t="s">
        <v>22</v>
      </c>
      <c r="G124" t="s">
        <v>58</v>
      </c>
      <c r="H124" t="s">
        <v>59</v>
      </c>
      <c r="I124">
        <v>1</v>
      </c>
      <c r="J124">
        <v>6750</v>
      </c>
      <c r="K124">
        <v>0</v>
      </c>
      <c r="L124" t="s">
        <v>34</v>
      </c>
      <c r="M124" t="s">
        <v>26</v>
      </c>
      <c r="N124" t="s">
        <v>27</v>
      </c>
      <c r="O124">
        <v>6750</v>
      </c>
      <c r="P124">
        <v>0</v>
      </c>
      <c r="Q124">
        <v>6750</v>
      </c>
      <c r="R124">
        <v>6</v>
      </c>
      <c r="S124" s="15">
        <f t="shared" si="1"/>
        <v>45901</v>
      </c>
    </row>
    <row r="125" spans="1:19">
      <c r="A125" t="s">
        <v>201</v>
      </c>
      <c r="B125" s="2">
        <v>45903</v>
      </c>
      <c r="C125" t="s">
        <v>29</v>
      </c>
      <c r="D125" t="s">
        <v>61</v>
      </c>
      <c r="E125" t="s">
        <v>42</v>
      </c>
      <c r="F125" t="s">
        <v>22</v>
      </c>
      <c r="G125" t="s">
        <v>32</v>
      </c>
      <c r="H125" t="s">
        <v>33</v>
      </c>
      <c r="I125">
        <v>1</v>
      </c>
      <c r="J125">
        <v>2450</v>
      </c>
      <c r="K125">
        <v>0</v>
      </c>
      <c r="L125" t="s">
        <v>64</v>
      </c>
      <c r="M125" t="s">
        <v>66</v>
      </c>
      <c r="N125" t="s">
        <v>27</v>
      </c>
      <c r="O125">
        <v>2450</v>
      </c>
      <c r="P125">
        <v>0</v>
      </c>
      <c r="Q125">
        <v>2450</v>
      </c>
      <c r="R125">
        <v>2</v>
      </c>
      <c r="S125" s="15">
        <f t="shared" si="1"/>
        <v>45901</v>
      </c>
    </row>
    <row r="126" spans="1:19">
      <c r="A126" t="s">
        <v>202</v>
      </c>
      <c r="B126" s="2">
        <v>45904</v>
      </c>
      <c r="C126" t="s">
        <v>40</v>
      </c>
      <c r="D126" t="s">
        <v>47</v>
      </c>
      <c r="E126" t="s">
        <v>42</v>
      </c>
      <c r="F126" t="s">
        <v>22</v>
      </c>
      <c r="G126" t="s">
        <v>92</v>
      </c>
      <c r="H126" t="s">
        <v>24</v>
      </c>
      <c r="I126">
        <v>5</v>
      </c>
      <c r="J126">
        <v>15940</v>
      </c>
      <c r="K126">
        <v>0.1</v>
      </c>
      <c r="L126" t="s">
        <v>34</v>
      </c>
      <c r="M126" t="s">
        <v>26</v>
      </c>
      <c r="N126" t="s">
        <v>27</v>
      </c>
      <c r="O126">
        <v>79700</v>
      </c>
      <c r="P126">
        <v>7970</v>
      </c>
      <c r="Q126">
        <v>71730</v>
      </c>
      <c r="R126">
        <v>2</v>
      </c>
      <c r="S126" s="15">
        <f t="shared" si="1"/>
        <v>45901</v>
      </c>
    </row>
    <row r="127" spans="1:19">
      <c r="A127" t="s">
        <v>203</v>
      </c>
      <c r="B127" s="2">
        <v>45904</v>
      </c>
      <c r="C127" t="s">
        <v>29</v>
      </c>
      <c r="D127" t="s">
        <v>78</v>
      </c>
      <c r="E127" t="s">
        <v>42</v>
      </c>
      <c r="F127" t="s">
        <v>22</v>
      </c>
      <c r="G127" t="s">
        <v>58</v>
      </c>
      <c r="H127" t="s">
        <v>59</v>
      </c>
      <c r="I127">
        <v>5</v>
      </c>
      <c r="J127">
        <v>7250</v>
      </c>
      <c r="K127">
        <v>0.08</v>
      </c>
      <c r="L127" t="s">
        <v>68</v>
      </c>
      <c r="M127" t="s">
        <v>26</v>
      </c>
      <c r="N127" t="s">
        <v>27</v>
      </c>
      <c r="O127">
        <v>36250</v>
      </c>
      <c r="P127">
        <v>2900</v>
      </c>
      <c r="Q127">
        <v>33350</v>
      </c>
      <c r="R127">
        <v>2</v>
      </c>
      <c r="S127" s="15">
        <f t="shared" si="1"/>
        <v>45901</v>
      </c>
    </row>
    <row r="128" spans="1:19">
      <c r="A128" t="s">
        <v>204</v>
      </c>
      <c r="B128" s="2">
        <v>45904</v>
      </c>
      <c r="C128" t="s">
        <v>40</v>
      </c>
      <c r="D128" t="s">
        <v>47</v>
      </c>
      <c r="E128" t="s">
        <v>21</v>
      </c>
      <c r="F128" t="s">
        <v>31</v>
      </c>
      <c r="G128" t="s">
        <v>95</v>
      </c>
      <c r="H128" t="s">
        <v>24</v>
      </c>
      <c r="I128">
        <v>2</v>
      </c>
      <c r="J128">
        <v>22660</v>
      </c>
      <c r="K128">
        <v>0.05</v>
      </c>
      <c r="L128" t="s">
        <v>68</v>
      </c>
      <c r="M128" t="s">
        <v>50</v>
      </c>
      <c r="N128" t="s">
        <v>27</v>
      </c>
      <c r="O128">
        <v>45320</v>
      </c>
      <c r="P128">
        <v>2266</v>
      </c>
      <c r="Q128">
        <v>43054</v>
      </c>
      <c r="R128">
        <v>4</v>
      </c>
      <c r="S128" s="15">
        <f t="shared" si="1"/>
        <v>45901</v>
      </c>
    </row>
    <row r="129" spans="1:19">
      <c r="A129" t="s">
        <v>205</v>
      </c>
      <c r="B129" s="2">
        <v>45906</v>
      </c>
      <c r="C129" t="s">
        <v>40</v>
      </c>
      <c r="D129" t="s">
        <v>89</v>
      </c>
      <c r="E129" t="s">
        <v>21</v>
      </c>
      <c r="F129" t="s">
        <v>31</v>
      </c>
      <c r="G129" t="s">
        <v>23</v>
      </c>
      <c r="H129" t="s">
        <v>24</v>
      </c>
      <c r="I129">
        <v>4</v>
      </c>
      <c r="J129">
        <v>26590</v>
      </c>
      <c r="K129">
        <v>0.08</v>
      </c>
      <c r="L129" t="s">
        <v>54</v>
      </c>
      <c r="M129" t="s">
        <v>35</v>
      </c>
      <c r="N129" t="s">
        <v>27</v>
      </c>
      <c r="O129">
        <v>106360</v>
      </c>
      <c r="P129">
        <v>8508.7999999999993</v>
      </c>
      <c r="Q129">
        <v>97851.199999999997</v>
      </c>
      <c r="R129">
        <v>7</v>
      </c>
      <c r="S129" s="15">
        <f t="shared" si="1"/>
        <v>45901</v>
      </c>
    </row>
    <row r="130" spans="1:19">
      <c r="A130" t="s">
        <v>206</v>
      </c>
      <c r="B130" s="2">
        <v>45907</v>
      </c>
      <c r="C130" t="s">
        <v>40</v>
      </c>
      <c r="D130" t="s">
        <v>47</v>
      </c>
      <c r="E130" t="s">
        <v>42</v>
      </c>
      <c r="F130" t="s">
        <v>31</v>
      </c>
      <c r="G130" t="s">
        <v>43</v>
      </c>
      <c r="H130" t="s">
        <v>33</v>
      </c>
      <c r="I130">
        <v>2</v>
      </c>
      <c r="J130">
        <v>910</v>
      </c>
      <c r="K130">
        <v>0</v>
      </c>
      <c r="L130" t="s">
        <v>68</v>
      </c>
      <c r="M130" t="s">
        <v>71</v>
      </c>
      <c r="N130" t="s">
        <v>27</v>
      </c>
      <c r="O130">
        <v>1820</v>
      </c>
      <c r="P130">
        <v>0</v>
      </c>
      <c r="Q130">
        <v>1820</v>
      </c>
      <c r="R130">
        <v>3</v>
      </c>
      <c r="S130" s="15">
        <f t="shared" ref="S130:S193" si="2">DATE(YEAR(B130),MONTH(B130),1)</f>
        <v>45901</v>
      </c>
    </row>
    <row r="131" spans="1:19">
      <c r="A131" t="s">
        <v>207</v>
      </c>
      <c r="B131" s="2">
        <v>45907</v>
      </c>
      <c r="C131" t="s">
        <v>40</v>
      </c>
      <c r="D131" t="s">
        <v>115</v>
      </c>
      <c r="E131" t="s">
        <v>21</v>
      </c>
      <c r="F131" t="s">
        <v>22</v>
      </c>
      <c r="G131" t="s">
        <v>43</v>
      </c>
      <c r="H131" t="s">
        <v>33</v>
      </c>
      <c r="I131">
        <v>3</v>
      </c>
      <c r="J131">
        <v>910</v>
      </c>
      <c r="K131">
        <v>0.05</v>
      </c>
      <c r="L131" t="s">
        <v>68</v>
      </c>
      <c r="M131" t="s">
        <v>66</v>
      </c>
      <c r="N131" t="s">
        <v>27</v>
      </c>
      <c r="O131">
        <v>2730</v>
      </c>
      <c r="P131">
        <v>136.5</v>
      </c>
      <c r="Q131">
        <v>2593.5</v>
      </c>
      <c r="R131">
        <v>3</v>
      </c>
      <c r="S131" s="15">
        <f t="shared" si="2"/>
        <v>45901</v>
      </c>
    </row>
    <row r="132" spans="1:19">
      <c r="A132" t="s">
        <v>208</v>
      </c>
      <c r="B132" s="2">
        <v>45907</v>
      </c>
      <c r="C132" t="s">
        <v>40</v>
      </c>
      <c r="D132" t="s">
        <v>47</v>
      </c>
      <c r="E132" t="s">
        <v>42</v>
      </c>
      <c r="F132" t="s">
        <v>22</v>
      </c>
      <c r="G132" t="s">
        <v>95</v>
      </c>
      <c r="H132" t="s">
        <v>24</v>
      </c>
      <c r="I132">
        <v>1</v>
      </c>
      <c r="J132">
        <v>22380</v>
      </c>
      <c r="K132">
        <v>0</v>
      </c>
      <c r="L132" t="s">
        <v>68</v>
      </c>
      <c r="M132" t="s">
        <v>50</v>
      </c>
      <c r="N132" t="s">
        <v>27</v>
      </c>
      <c r="O132">
        <v>22380</v>
      </c>
      <c r="P132">
        <v>0</v>
      </c>
      <c r="Q132">
        <v>22380</v>
      </c>
      <c r="R132">
        <v>3</v>
      </c>
      <c r="S132" s="15">
        <f t="shared" si="2"/>
        <v>45901</v>
      </c>
    </row>
    <row r="133" spans="1:19">
      <c r="A133" t="s">
        <v>209</v>
      </c>
      <c r="B133" s="2">
        <v>45908</v>
      </c>
      <c r="C133" t="s">
        <v>19</v>
      </c>
      <c r="D133" t="s">
        <v>20</v>
      </c>
      <c r="E133" t="s">
        <v>42</v>
      </c>
      <c r="F133" t="s">
        <v>53</v>
      </c>
      <c r="G133" t="s">
        <v>32</v>
      </c>
      <c r="H133" t="s">
        <v>33</v>
      </c>
      <c r="I133">
        <v>1</v>
      </c>
      <c r="J133">
        <v>2480</v>
      </c>
      <c r="K133">
        <v>0</v>
      </c>
      <c r="L133" t="s">
        <v>68</v>
      </c>
      <c r="M133" t="s">
        <v>50</v>
      </c>
      <c r="N133" t="s">
        <v>27</v>
      </c>
      <c r="O133">
        <v>2480</v>
      </c>
      <c r="P133">
        <v>0</v>
      </c>
      <c r="Q133">
        <v>2480</v>
      </c>
      <c r="R133">
        <v>2</v>
      </c>
      <c r="S133" s="15">
        <f t="shared" si="2"/>
        <v>45901</v>
      </c>
    </row>
    <row r="134" spans="1:19">
      <c r="A134" t="s">
        <v>210</v>
      </c>
      <c r="B134" s="2">
        <v>45908</v>
      </c>
      <c r="C134" t="s">
        <v>29</v>
      </c>
      <c r="D134" t="s">
        <v>61</v>
      </c>
      <c r="E134" t="s">
        <v>21</v>
      </c>
      <c r="F134" t="s">
        <v>22</v>
      </c>
      <c r="G134" t="s">
        <v>105</v>
      </c>
      <c r="H134" t="s">
        <v>24</v>
      </c>
      <c r="I134">
        <v>2</v>
      </c>
      <c r="J134">
        <v>3340</v>
      </c>
      <c r="K134">
        <v>0</v>
      </c>
      <c r="L134" t="s">
        <v>34</v>
      </c>
      <c r="M134" t="s">
        <v>740</v>
      </c>
      <c r="N134" t="s">
        <v>27</v>
      </c>
      <c r="O134">
        <v>6680</v>
      </c>
      <c r="P134">
        <v>0</v>
      </c>
      <c r="Q134">
        <v>6680</v>
      </c>
      <c r="R134">
        <v>4</v>
      </c>
      <c r="S134" s="15">
        <f t="shared" si="2"/>
        <v>45901</v>
      </c>
    </row>
    <row r="135" spans="1:19">
      <c r="A135" t="s">
        <v>211</v>
      </c>
      <c r="B135" s="2">
        <v>45908</v>
      </c>
      <c r="C135" t="s">
        <v>29</v>
      </c>
      <c r="D135" t="s">
        <v>30</v>
      </c>
      <c r="E135" t="s">
        <v>42</v>
      </c>
      <c r="F135" t="s">
        <v>31</v>
      </c>
      <c r="G135" t="s">
        <v>149</v>
      </c>
      <c r="H135" t="s">
        <v>33</v>
      </c>
      <c r="I135">
        <v>4</v>
      </c>
      <c r="J135">
        <v>3520</v>
      </c>
      <c r="K135">
        <v>0.05</v>
      </c>
      <c r="L135" t="s">
        <v>54</v>
      </c>
      <c r="M135" t="s">
        <v>38</v>
      </c>
      <c r="N135" t="s">
        <v>27</v>
      </c>
      <c r="O135">
        <v>14080</v>
      </c>
      <c r="P135">
        <v>704</v>
      </c>
      <c r="Q135">
        <v>13376</v>
      </c>
      <c r="R135">
        <v>3</v>
      </c>
      <c r="S135" s="15">
        <f t="shared" si="2"/>
        <v>45901</v>
      </c>
    </row>
    <row r="136" spans="1:19">
      <c r="A136" t="s">
        <v>212</v>
      </c>
      <c r="B136" s="2">
        <v>45908</v>
      </c>
      <c r="C136" t="s">
        <v>40</v>
      </c>
      <c r="D136" t="s">
        <v>47</v>
      </c>
      <c r="E136" t="s">
        <v>70</v>
      </c>
      <c r="F136" t="s">
        <v>22</v>
      </c>
      <c r="G136" t="s">
        <v>92</v>
      </c>
      <c r="H136" t="s">
        <v>24</v>
      </c>
      <c r="I136">
        <v>3</v>
      </c>
      <c r="J136">
        <v>17020</v>
      </c>
      <c r="K136">
        <v>0.05</v>
      </c>
      <c r="L136" t="s">
        <v>64</v>
      </c>
      <c r="M136" t="s">
        <v>71</v>
      </c>
      <c r="N136" t="s">
        <v>27</v>
      </c>
      <c r="O136">
        <v>51060</v>
      </c>
      <c r="P136">
        <v>2553</v>
      </c>
      <c r="Q136">
        <v>48507</v>
      </c>
      <c r="R136">
        <v>4</v>
      </c>
      <c r="S136" s="15">
        <f t="shared" si="2"/>
        <v>45901</v>
      </c>
    </row>
    <row r="137" spans="1:19">
      <c r="A137" t="s">
        <v>213</v>
      </c>
      <c r="B137" s="2">
        <v>45909</v>
      </c>
      <c r="C137" t="s">
        <v>29</v>
      </c>
      <c r="D137" t="s">
        <v>61</v>
      </c>
      <c r="E137" t="s">
        <v>42</v>
      </c>
      <c r="F137" t="s">
        <v>31</v>
      </c>
      <c r="G137" t="s">
        <v>152</v>
      </c>
      <c r="H137" t="s">
        <v>74</v>
      </c>
      <c r="I137">
        <v>1</v>
      </c>
      <c r="J137">
        <v>14090</v>
      </c>
      <c r="K137">
        <v>0.05</v>
      </c>
      <c r="L137" t="s">
        <v>64</v>
      </c>
      <c r="M137" t="s">
        <v>55</v>
      </c>
      <c r="N137" t="s">
        <v>27</v>
      </c>
      <c r="O137">
        <v>14090</v>
      </c>
      <c r="P137">
        <v>704.5</v>
      </c>
      <c r="Q137">
        <v>13385.5</v>
      </c>
      <c r="R137">
        <v>1</v>
      </c>
      <c r="S137" s="15">
        <f t="shared" si="2"/>
        <v>45901</v>
      </c>
    </row>
    <row r="138" spans="1:19">
      <c r="A138" t="s">
        <v>214</v>
      </c>
      <c r="B138" s="2">
        <v>45909</v>
      </c>
      <c r="C138" t="s">
        <v>19</v>
      </c>
      <c r="D138" t="s">
        <v>103</v>
      </c>
      <c r="E138" t="s">
        <v>42</v>
      </c>
      <c r="F138" t="s">
        <v>22</v>
      </c>
      <c r="G138" t="s">
        <v>73</v>
      </c>
      <c r="H138" t="s">
        <v>74</v>
      </c>
      <c r="I138">
        <v>2</v>
      </c>
      <c r="J138">
        <v>11840</v>
      </c>
      <c r="K138">
        <v>0.1</v>
      </c>
      <c r="L138" t="s">
        <v>34</v>
      </c>
      <c r="M138" t="s">
        <v>71</v>
      </c>
      <c r="N138" t="s">
        <v>27</v>
      </c>
      <c r="O138">
        <v>23680</v>
      </c>
      <c r="P138">
        <v>2368</v>
      </c>
      <c r="Q138">
        <v>21312</v>
      </c>
      <c r="R138">
        <v>5</v>
      </c>
      <c r="S138" s="15">
        <f t="shared" si="2"/>
        <v>45901</v>
      </c>
    </row>
    <row r="139" spans="1:19">
      <c r="A139" t="s">
        <v>215</v>
      </c>
      <c r="B139" s="2">
        <v>45909</v>
      </c>
      <c r="C139" t="s">
        <v>29</v>
      </c>
      <c r="D139" t="s">
        <v>78</v>
      </c>
      <c r="E139" t="s">
        <v>42</v>
      </c>
      <c r="F139" t="s">
        <v>31</v>
      </c>
      <c r="G139" t="s">
        <v>37</v>
      </c>
      <c r="H139" t="s">
        <v>24</v>
      </c>
      <c r="I139">
        <v>1</v>
      </c>
      <c r="J139">
        <v>61250</v>
      </c>
      <c r="K139">
        <v>0.03</v>
      </c>
      <c r="L139" t="s">
        <v>64</v>
      </c>
      <c r="M139" t="s">
        <v>44</v>
      </c>
      <c r="N139" t="s">
        <v>27</v>
      </c>
      <c r="O139">
        <v>61250</v>
      </c>
      <c r="P139">
        <v>1837.5</v>
      </c>
      <c r="Q139">
        <v>59412.5</v>
      </c>
      <c r="R139">
        <v>5</v>
      </c>
      <c r="S139" s="15">
        <f t="shared" si="2"/>
        <v>45901</v>
      </c>
    </row>
    <row r="140" spans="1:19">
      <c r="A140" t="s">
        <v>216</v>
      </c>
      <c r="B140" s="2">
        <v>45910</v>
      </c>
      <c r="C140" t="s">
        <v>82</v>
      </c>
      <c r="D140" t="s">
        <v>83</v>
      </c>
      <c r="E140" t="s">
        <v>42</v>
      </c>
      <c r="F140" t="s">
        <v>22</v>
      </c>
      <c r="G140" t="s">
        <v>23</v>
      </c>
      <c r="H140" t="s">
        <v>24</v>
      </c>
      <c r="I140">
        <v>3</v>
      </c>
      <c r="J140">
        <v>27950</v>
      </c>
      <c r="K140">
        <v>0.05</v>
      </c>
      <c r="L140" t="s">
        <v>64</v>
      </c>
      <c r="M140" t="s">
        <v>71</v>
      </c>
      <c r="N140" t="s">
        <v>27</v>
      </c>
      <c r="O140">
        <v>83850</v>
      </c>
      <c r="P140">
        <v>4192.5</v>
      </c>
      <c r="Q140">
        <v>79657.5</v>
      </c>
      <c r="R140">
        <v>4</v>
      </c>
      <c r="S140" s="15">
        <f t="shared" si="2"/>
        <v>45901</v>
      </c>
    </row>
    <row r="141" spans="1:19">
      <c r="A141" t="s">
        <v>217</v>
      </c>
      <c r="B141" s="2">
        <v>45911</v>
      </c>
      <c r="C141" t="s">
        <v>19</v>
      </c>
      <c r="D141" t="s">
        <v>57</v>
      </c>
      <c r="E141" t="s">
        <v>42</v>
      </c>
      <c r="F141" t="s">
        <v>22</v>
      </c>
      <c r="G141" t="s">
        <v>48</v>
      </c>
      <c r="H141" t="s">
        <v>49</v>
      </c>
      <c r="I141">
        <v>1</v>
      </c>
      <c r="J141">
        <v>11840</v>
      </c>
      <c r="K141">
        <v>0.03</v>
      </c>
      <c r="L141" t="s">
        <v>64</v>
      </c>
      <c r="M141" t="s">
        <v>55</v>
      </c>
      <c r="N141" t="s">
        <v>27</v>
      </c>
      <c r="O141">
        <v>11840</v>
      </c>
      <c r="P141">
        <v>355.2</v>
      </c>
      <c r="Q141">
        <v>11484.8</v>
      </c>
      <c r="R141">
        <v>3</v>
      </c>
      <c r="S141" s="15">
        <f t="shared" si="2"/>
        <v>45901</v>
      </c>
    </row>
    <row r="142" spans="1:19">
      <c r="A142" t="s">
        <v>218</v>
      </c>
      <c r="B142" s="2">
        <v>45911</v>
      </c>
      <c r="C142" t="s">
        <v>29</v>
      </c>
      <c r="D142" t="s">
        <v>85</v>
      </c>
      <c r="E142" t="s">
        <v>70</v>
      </c>
      <c r="F142" t="s">
        <v>22</v>
      </c>
      <c r="G142" t="s">
        <v>73</v>
      </c>
      <c r="H142" t="s">
        <v>74</v>
      </c>
      <c r="I142">
        <v>3</v>
      </c>
      <c r="J142">
        <v>10760</v>
      </c>
      <c r="K142">
        <v>0.1</v>
      </c>
      <c r="L142" t="s">
        <v>64</v>
      </c>
      <c r="M142" t="s">
        <v>38</v>
      </c>
      <c r="N142" t="s">
        <v>27</v>
      </c>
      <c r="O142">
        <v>32280</v>
      </c>
      <c r="P142">
        <v>3228</v>
      </c>
      <c r="Q142">
        <v>29052</v>
      </c>
      <c r="R142">
        <v>3</v>
      </c>
      <c r="S142" s="15">
        <f t="shared" si="2"/>
        <v>45901</v>
      </c>
    </row>
    <row r="143" spans="1:19">
      <c r="A143" t="s">
        <v>219</v>
      </c>
      <c r="B143" s="2">
        <v>45912</v>
      </c>
      <c r="C143" t="s">
        <v>82</v>
      </c>
      <c r="D143" t="s">
        <v>122</v>
      </c>
      <c r="E143" t="s">
        <v>21</v>
      </c>
      <c r="F143" t="s">
        <v>22</v>
      </c>
      <c r="G143" t="s">
        <v>152</v>
      </c>
      <c r="H143" t="s">
        <v>74</v>
      </c>
      <c r="I143">
        <v>2</v>
      </c>
      <c r="J143">
        <v>14850</v>
      </c>
      <c r="K143">
        <v>0.08</v>
      </c>
      <c r="L143" t="s">
        <v>34</v>
      </c>
      <c r="M143" t="s">
        <v>38</v>
      </c>
      <c r="N143" t="s">
        <v>27</v>
      </c>
      <c r="O143">
        <v>29700</v>
      </c>
      <c r="P143">
        <v>2376</v>
      </c>
      <c r="Q143">
        <v>27324</v>
      </c>
      <c r="R143">
        <v>4</v>
      </c>
      <c r="S143" s="15">
        <f t="shared" si="2"/>
        <v>45901</v>
      </c>
    </row>
    <row r="144" spans="1:19">
      <c r="A144" t="s">
        <v>220</v>
      </c>
      <c r="B144" s="2">
        <v>45912</v>
      </c>
      <c r="C144" t="s">
        <v>40</v>
      </c>
      <c r="D144" t="s">
        <v>47</v>
      </c>
      <c r="E144" t="s">
        <v>42</v>
      </c>
      <c r="F144" t="s">
        <v>53</v>
      </c>
      <c r="G144" t="s">
        <v>43</v>
      </c>
      <c r="H144" t="s">
        <v>33</v>
      </c>
      <c r="I144">
        <v>1</v>
      </c>
      <c r="J144">
        <v>990</v>
      </c>
      <c r="K144">
        <v>0.08</v>
      </c>
      <c r="L144" t="s">
        <v>64</v>
      </c>
      <c r="M144" t="s">
        <v>71</v>
      </c>
      <c r="N144" t="s">
        <v>27</v>
      </c>
      <c r="O144">
        <v>990</v>
      </c>
      <c r="P144">
        <v>79.2</v>
      </c>
      <c r="Q144">
        <v>910.8</v>
      </c>
      <c r="R144">
        <v>7</v>
      </c>
      <c r="S144" s="15">
        <f t="shared" si="2"/>
        <v>45901</v>
      </c>
    </row>
    <row r="145" spans="1:19">
      <c r="A145" t="s">
        <v>221</v>
      </c>
      <c r="B145" s="2">
        <v>45913</v>
      </c>
      <c r="C145" t="s">
        <v>29</v>
      </c>
      <c r="D145" t="s">
        <v>61</v>
      </c>
      <c r="E145" t="s">
        <v>42</v>
      </c>
      <c r="F145" t="s">
        <v>22</v>
      </c>
      <c r="G145" t="s">
        <v>37</v>
      </c>
      <c r="H145" t="s">
        <v>24</v>
      </c>
      <c r="I145">
        <v>1</v>
      </c>
      <c r="J145">
        <v>59920</v>
      </c>
      <c r="K145">
        <v>0.05</v>
      </c>
      <c r="L145" t="s">
        <v>25</v>
      </c>
      <c r="M145" t="s">
        <v>26</v>
      </c>
      <c r="N145" t="s">
        <v>27</v>
      </c>
      <c r="O145">
        <v>59920</v>
      </c>
      <c r="P145">
        <v>2996</v>
      </c>
      <c r="Q145">
        <v>56924</v>
      </c>
      <c r="R145">
        <v>2</v>
      </c>
      <c r="S145" s="15">
        <f t="shared" si="2"/>
        <v>45901</v>
      </c>
    </row>
    <row r="146" spans="1:19">
      <c r="A146" t="s">
        <v>222</v>
      </c>
      <c r="B146" s="2">
        <v>45913</v>
      </c>
      <c r="C146" t="s">
        <v>40</v>
      </c>
      <c r="D146" t="s">
        <v>89</v>
      </c>
      <c r="E146" t="s">
        <v>70</v>
      </c>
      <c r="F146" t="s">
        <v>31</v>
      </c>
      <c r="G146" t="s">
        <v>105</v>
      </c>
      <c r="H146" t="s">
        <v>24</v>
      </c>
      <c r="I146">
        <v>3</v>
      </c>
      <c r="J146">
        <v>3280</v>
      </c>
      <c r="K146">
        <v>0.05</v>
      </c>
      <c r="L146" t="s">
        <v>25</v>
      </c>
      <c r="M146" t="s">
        <v>35</v>
      </c>
      <c r="N146" t="s">
        <v>27</v>
      </c>
      <c r="O146">
        <v>9840</v>
      </c>
      <c r="P146">
        <v>492</v>
      </c>
      <c r="Q146">
        <v>9348</v>
      </c>
      <c r="R146">
        <v>3</v>
      </c>
      <c r="S146" s="15">
        <f t="shared" si="2"/>
        <v>45901</v>
      </c>
    </row>
    <row r="147" spans="1:19">
      <c r="A147" t="s">
        <v>223</v>
      </c>
      <c r="B147" s="2">
        <v>45914</v>
      </c>
      <c r="C147" t="s">
        <v>29</v>
      </c>
      <c r="D147" t="s">
        <v>61</v>
      </c>
      <c r="E147" t="s">
        <v>42</v>
      </c>
      <c r="F147" t="s">
        <v>22</v>
      </c>
      <c r="G147" t="s">
        <v>62</v>
      </c>
      <c r="H147" t="s">
        <v>33</v>
      </c>
      <c r="I147">
        <v>2</v>
      </c>
      <c r="J147">
        <v>1870</v>
      </c>
      <c r="K147">
        <v>0.05</v>
      </c>
      <c r="L147" t="s">
        <v>64</v>
      </c>
      <c r="M147" t="s">
        <v>26</v>
      </c>
      <c r="N147" t="s">
        <v>27</v>
      </c>
      <c r="O147">
        <v>3740</v>
      </c>
      <c r="P147">
        <v>187</v>
      </c>
      <c r="Q147">
        <v>3553</v>
      </c>
      <c r="R147">
        <v>3</v>
      </c>
      <c r="S147" s="15">
        <f t="shared" si="2"/>
        <v>45901</v>
      </c>
    </row>
    <row r="148" spans="1:19">
      <c r="A148" t="s">
        <v>224</v>
      </c>
      <c r="B148" s="2">
        <v>45914</v>
      </c>
      <c r="C148" t="s">
        <v>40</v>
      </c>
      <c r="D148" t="s">
        <v>115</v>
      </c>
      <c r="E148" t="s">
        <v>42</v>
      </c>
      <c r="F148" t="s">
        <v>22</v>
      </c>
      <c r="G148" t="s">
        <v>105</v>
      </c>
      <c r="H148" t="s">
        <v>24</v>
      </c>
      <c r="I148">
        <v>3</v>
      </c>
      <c r="J148">
        <v>3130</v>
      </c>
      <c r="K148">
        <v>0.03</v>
      </c>
      <c r="L148" t="s">
        <v>64</v>
      </c>
      <c r="M148" t="s">
        <v>44</v>
      </c>
      <c r="N148" t="s">
        <v>27</v>
      </c>
      <c r="O148">
        <v>9390</v>
      </c>
      <c r="P148">
        <v>281.7</v>
      </c>
      <c r="Q148">
        <v>9108.2999999999993</v>
      </c>
      <c r="R148">
        <v>3</v>
      </c>
      <c r="S148" s="15">
        <f t="shared" si="2"/>
        <v>45901</v>
      </c>
    </row>
    <row r="149" spans="1:19">
      <c r="A149" t="s">
        <v>225</v>
      </c>
      <c r="B149" s="2">
        <v>45915</v>
      </c>
      <c r="C149" t="s">
        <v>29</v>
      </c>
      <c r="D149" t="s">
        <v>78</v>
      </c>
      <c r="E149" t="s">
        <v>42</v>
      </c>
      <c r="F149" t="s">
        <v>22</v>
      </c>
      <c r="G149" t="s">
        <v>58</v>
      </c>
      <c r="H149" t="s">
        <v>59</v>
      </c>
      <c r="I149">
        <v>2</v>
      </c>
      <c r="J149">
        <v>7070</v>
      </c>
      <c r="K149">
        <v>0.03</v>
      </c>
      <c r="L149" t="s">
        <v>68</v>
      </c>
      <c r="M149" t="s">
        <v>55</v>
      </c>
      <c r="N149" t="s">
        <v>27</v>
      </c>
      <c r="O149">
        <v>14140</v>
      </c>
      <c r="P149">
        <v>424.2</v>
      </c>
      <c r="Q149">
        <v>13715.8</v>
      </c>
      <c r="R149">
        <v>3</v>
      </c>
      <c r="S149" s="15">
        <f t="shared" si="2"/>
        <v>45901</v>
      </c>
    </row>
    <row r="150" spans="1:19">
      <c r="A150" t="s">
        <v>226</v>
      </c>
      <c r="B150" s="2">
        <v>45915</v>
      </c>
      <c r="C150" t="s">
        <v>29</v>
      </c>
      <c r="D150" t="s">
        <v>85</v>
      </c>
      <c r="E150" t="s">
        <v>70</v>
      </c>
      <c r="F150" t="s">
        <v>22</v>
      </c>
      <c r="G150" t="s">
        <v>23</v>
      </c>
      <c r="H150" t="s">
        <v>24</v>
      </c>
      <c r="I150">
        <v>1</v>
      </c>
      <c r="J150">
        <v>29650</v>
      </c>
      <c r="K150">
        <v>0.1</v>
      </c>
      <c r="L150" t="s">
        <v>25</v>
      </c>
      <c r="M150" t="s">
        <v>71</v>
      </c>
      <c r="N150" t="s">
        <v>27</v>
      </c>
      <c r="O150">
        <v>29650</v>
      </c>
      <c r="P150">
        <v>2965</v>
      </c>
      <c r="Q150">
        <v>26685</v>
      </c>
      <c r="R150">
        <v>2</v>
      </c>
      <c r="S150" s="15">
        <f t="shared" si="2"/>
        <v>45901</v>
      </c>
    </row>
    <row r="151" spans="1:19">
      <c r="A151" t="s">
        <v>227</v>
      </c>
      <c r="B151" s="2">
        <v>45916</v>
      </c>
      <c r="C151" t="s">
        <v>19</v>
      </c>
      <c r="D151" t="s">
        <v>20</v>
      </c>
      <c r="E151" t="s">
        <v>70</v>
      </c>
      <c r="F151" t="s">
        <v>22</v>
      </c>
      <c r="G151" t="s">
        <v>43</v>
      </c>
      <c r="H151" t="s">
        <v>33</v>
      </c>
      <c r="I151">
        <v>3</v>
      </c>
      <c r="J151">
        <v>970</v>
      </c>
      <c r="K151">
        <v>0.15</v>
      </c>
      <c r="L151" t="s">
        <v>64</v>
      </c>
      <c r="M151" t="s">
        <v>44</v>
      </c>
      <c r="N151" t="s">
        <v>27</v>
      </c>
      <c r="O151">
        <v>2910</v>
      </c>
      <c r="P151">
        <v>436.5</v>
      </c>
      <c r="Q151">
        <v>2473.5</v>
      </c>
      <c r="R151">
        <v>6</v>
      </c>
      <c r="S151" s="15">
        <f t="shared" si="2"/>
        <v>45901</v>
      </c>
    </row>
    <row r="152" spans="1:19">
      <c r="A152" t="s">
        <v>228</v>
      </c>
      <c r="B152" s="2">
        <v>45916</v>
      </c>
      <c r="C152" t="s">
        <v>40</v>
      </c>
      <c r="D152" t="s">
        <v>89</v>
      </c>
      <c r="E152" t="s">
        <v>42</v>
      </c>
      <c r="F152" t="s">
        <v>22</v>
      </c>
      <c r="G152" t="s">
        <v>58</v>
      </c>
      <c r="H152" t="s">
        <v>59</v>
      </c>
      <c r="I152">
        <v>1</v>
      </c>
      <c r="J152">
        <v>7180</v>
      </c>
      <c r="K152">
        <v>0.1</v>
      </c>
      <c r="L152" t="s">
        <v>34</v>
      </c>
      <c r="M152" t="s">
        <v>55</v>
      </c>
      <c r="N152" t="s">
        <v>27</v>
      </c>
      <c r="O152">
        <v>7180</v>
      </c>
      <c r="P152">
        <v>718</v>
      </c>
      <c r="Q152">
        <v>6462</v>
      </c>
      <c r="R152">
        <v>2</v>
      </c>
      <c r="S152" s="15">
        <f t="shared" si="2"/>
        <v>45901</v>
      </c>
    </row>
    <row r="153" spans="1:19">
      <c r="A153" t="s">
        <v>229</v>
      </c>
      <c r="B153" s="2">
        <v>45918</v>
      </c>
      <c r="C153" t="s">
        <v>29</v>
      </c>
      <c r="D153" t="s">
        <v>30</v>
      </c>
      <c r="E153" t="s">
        <v>70</v>
      </c>
      <c r="F153" t="s">
        <v>31</v>
      </c>
      <c r="G153" t="s">
        <v>62</v>
      </c>
      <c r="H153" t="s">
        <v>33</v>
      </c>
      <c r="I153">
        <v>2</v>
      </c>
      <c r="J153">
        <v>1870</v>
      </c>
      <c r="K153">
        <v>0.03</v>
      </c>
      <c r="L153" t="s">
        <v>34</v>
      </c>
      <c r="M153" t="s">
        <v>38</v>
      </c>
      <c r="N153" t="s">
        <v>27</v>
      </c>
      <c r="O153">
        <v>3740</v>
      </c>
      <c r="P153">
        <v>112.2</v>
      </c>
      <c r="Q153">
        <v>3627.8</v>
      </c>
      <c r="R153">
        <v>3</v>
      </c>
      <c r="S153" s="15">
        <f t="shared" si="2"/>
        <v>45901</v>
      </c>
    </row>
    <row r="154" spans="1:19">
      <c r="A154" t="s">
        <v>230</v>
      </c>
      <c r="B154" s="2">
        <v>45918</v>
      </c>
      <c r="C154" t="s">
        <v>82</v>
      </c>
      <c r="D154" t="s">
        <v>83</v>
      </c>
      <c r="E154" t="s">
        <v>42</v>
      </c>
      <c r="F154" t="s">
        <v>22</v>
      </c>
      <c r="G154" t="s">
        <v>73</v>
      </c>
      <c r="H154" t="s">
        <v>74</v>
      </c>
      <c r="I154">
        <v>1</v>
      </c>
      <c r="J154">
        <v>12120</v>
      </c>
      <c r="K154">
        <v>0.05</v>
      </c>
      <c r="L154" t="s">
        <v>68</v>
      </c>
      <c r="M154" t="s">
        <v>35</v>
      </c>
      <c r="N154" t="s">
        <v>27</v>
      </c>
      <c r="O154">
        <v>12120</v>
      </c>
      <c r="P154">
        <v>606</v>
      </c>
      <c r="Q154">
        <v>11514</v>
      </c>
      <c r="R154">
        <v>4</v>
      </c>
      <c r="S154" s="15">
        <f t="shared" si="2"/>
        <v>45901</v>
      </c>
    </row>
    <row r="155" spans="1:19">
      <c r="A155" t="s">
        <v>231</v>
      </c>
      <c r="B155" s="2">
        <v>45919</v>
      </c>
      <c r="C155" t="s">
        <v>19</v>
      </c>
      <c r="D155" t="s">
        <v>20</v>
      </c>
      <c r="E155" t="s">
        <v>42</v>
      </c>
      <c r="F155" t="s">
        <v>22</v>
      </c>
      <c r="G155" t="s">
        <v>58</v>
      </c>
      <c r="H155" t="s">
        <v>59</v>
      </c>
      <c r="I155">
        <v>4</v>
      </c>
      <c r="J155">
        <v>7220</v>
      </c>
      <c r="K155">
        <v>0</v>
      </c>
      <c r="L155" t="s">
        <v>34</v>
      </c>
      <c r="M155" t="s">
        <v>26</v>
      </c>
      <c r="N155" t="s">
        <v>27</v>
      </c>
      <c r="O155">
        <v>28880</v>
      </c>
      <c r="P155">
        <v>0</v>
      </c>
      <c r="Q155">
        <v>28880</v>
      </c>
      <c r="R155">
        <v>3</v>
      </c>
      <c r="S155" s="15">
        <f t="shared" si="2"/>
        <v>45901</v>
      </c>
    </row>
    <row r="156" spans="1:19">
      <c r="A156" t="s">
        <v>232</v>
      </c>
      <c r="B156" s="2">
        <v>45919</v>
      </c>
      <c r="C156" t="s">
        <v>19</v>
      </c>
      <c r="D156" t="s">
        <v>52</v>
      </c>
      <c r="E156" t="s">
        <v>21</v>
      </c>
      <c r="F156" t="s">
        <v>31</v>
      </c>
      <c r="G156" t="s">
        <v>43</v>
      </c>
      <c r="H156" t="s">
        <v>33</v>
      </c>
      <c r="I156">
        <v>1</v>
      </c>
      <c r="J156">
        <v>940</v>
      </c>
      <c r="K156">
        <v>0.03</v>
      </c>
      <c r="L156" t="s">
        <v>64</v>
      </c>
      <c r="M156" t="s">
        <v>26</v>
      </c>
      <c r="N156" t="s">
        <v>45</v>
      </c>
      <c r="O156">
        <v>0</v>
      </c>
      <c r="P156">
        <v>0</v>
      </c>
      <c r="Q156">
        <v>0</v>
      </c>
      <c r="S156" s="15">
        <f t="shared" si="2"/>
        <v>45901</v>
      </c>
    </row>
    <row r="157" spans="1:19">
      <c r="A157" t="s">
        <v>233</v>
      </c>
      <c r="B157" s="2">
        <v>45921</v>
      </c>
      <c r="C157" t="s">
        <v>40</v>
      </c>
      <c r="D157" t="s">
        <v>41</v>
      </c>
      <c r="E157" t="s">
        <v>42</v>
      </c>
      <c r="F157" t="s">
        <v>22</v>
      </c>
      <c r="G157" t="s">
        <v>73</v>
      </c>
      <c r="H157" t="s">
        <v>74</v>
      </c>
      <c r="I157">
        <v>2</v>
      </c>
      <c r="J157">
        <v>11640</v>
      </c>
      <c r="K157">
        <v>0.08</v>
      </c>
      <c r="L157" t="s">
        <v>64</v>
      </c>
      <c r="M157" t="s">
        <v>66</v>
      </c>
      <c r="N157" t="s">
        <v>27</v>
      </c>
      <c r="O157">
        <v>23280</v>
      </c>
      <c r="P157">
        <v>1862.4</v>
      </c>
      <c r="Q157">
        <v>21417.599999999999</v>
      </c>
      <c r="R157">
        <v>5</v>
      </c>
      <c r="S157" s="15">
        <f t="shared" si="2"/>
        <v>45901</v>
      </c>
    </row>
    <row r="158" spans="1:19">
      <c r="A158" t="s">
        <v>234</v>
      </c>
      <c r="B158" s="2">
        <v>45922</v>
      </c>
      <c r="C158" t="s">
        <v>40</v>
      </c>
      <c r="D158" t="s">
        <v>47</v>
      </c>
      <c r="E158" t="s">
        <v>21</v>
      </c>
      <c r="F158" t="s">
        <v>53</v>
      </c>
      <c r="G158" t="s">
        <v>73</v>
      </c>
      <c r="H158" t="s">
        <v>74</v>
      </c>
      <c r="I158">
        <v>1</v>
      </c>
      <c r="J158">
        <v>10900</v>
      </c>
      <c r="K158">
        <v>0</v>
      </c>
      <c r="L158" t="s">
        <v>64</v>
      </c>
      <c r="M158" t="s">
        <v>44</v>
      </c>
      <c r="N158" t="s">
        <v>27</v>
      </c>
      <c r="O158">
        <v>10900</v>
      </c>
      <c r="P158">
        <v>0</v>
      </c>
      <c r="Q158">
        <v>10900</v>
      </c>
      <c r="R158">
        <v>2</v>
      </c>
      <c r="S158" s="15">
        <f t="shared" si="2"/>
        <v>45901</v>
      </c>
    </row>
    <row r="159" spans="1:19">
      <c r="A159" t="s">
        <v>235</v>
      </c>
      <c r="B159" s="2">
        <v>45923</v>
      </c>
      <c r="C159" t="s">
        <v>82</v>
      </c>
      <c r="D159" t="s">
        <v>122</v>
      </c>
      <c r="E159" t="s">
        <v>42</v>
      </c>
      <c r="F159" t="s">
        <v>22</v>
      </c>
      <c r="G159" t="s">
        <v>62</v>
      </c>
      <c r="H159" t="s">
        <v>33</v>
      </c>
      <c r="I159">
        <v>3</v>
      </c>
      <c r="J159">
        <v>1750</v>
      </c>
      <c r="K159">
        <v>0</v>
      </c>
      <c r="L159" t="s">
        <v>25</v>
      </c>
      <c r="M159" t="s">
        <v>66</v>
      </c>
      <c r="N159" t="s">
        <v>130</v>
      </c>
      <c r="O159">
        <v>5250</v>
      </c>
      <c r="P159">
        <v>0</v>
      </c>
      <c r="Q159">
        <v>5250</v>
      </c>
      <c r="R159">
        <v>3</v>
      </c>
      <c r="S159" s="15">
        <f t="shared" si="2"/>
        <v>45901</v>
      </c>
    </row>
    <row r="160" spans="1:19">
      <c r="A160" t="s">
        <v>236</v>
      </c>
      <c r="B160" s="2">
        <v>45923</v>
      </c>
      <c r="C160" t="s">
        <v>82</v>
      </c>
      <c r="D160" t="s">
        <v>83</v>
      </c>
      <c r="E160" t="s">
        <v>42</v>
      </c>
      <c r="F160" t="s">
        <v>31</v>
      </c>
      <c r="G160" t="s">
        <v>152</v>
      </c>
      <c r="H160" t="s">
        <v>74</v>
      </c>
      <c r="I160">
        <v>2</v>
      </c>
      <c r="J160">
        <v>15160</v>
      </c>
      <c r="K160">
        <v>0.05</v>
      </c>
      <c r="L160" t="s">
        <v>64</v>
      </c>
      <c r="M160" t="s">
        <v>66</v>
      </c>
      <c r="N160" t="s">
        <v>27</v>
      </c>
      <c r="O160">
        <v>30320</v>
      </c>
      <c r="P160">
        <v>1516</v>
      </c>
      <c r="Q160">
        <v>28804</v>
      </c>
      <c r="R160">
        <v>4</v>
      </c>
      <c r="S160" s="15">
        <f t="shared" si="2"/>
        <v>45901</v>
      </c>
    </row>
    <row r="161" spans="1:19">
      <c r="A161" t="s">
        <v>237</v>
      </c>
      <c r="B161" s="2">
        <v>45924</v>
      </c>
      <c r="C161" t="s">
        <v>19</v>
      </c>
      <c r="D161" t="s">
        <v>20</v>
      </c>
      <c r="E161" t="s">
        <v>70</v>
      </c>
      <c r="F161" t="s">
        <v>22</v>
      </c>
      <c r="G161" t="s">
        <v>37</v>
      </c>
      <c r="H161" t="s">
        <v>24</v>
      </c>
      <c r="I161">
        <v>1</v>
      </c>
      <c r="J161">
        <v>57830</v>
      </c>
      <c r="K161">
        <v>0.08</v>
      </c>
      <c r="L161" t="s">
        <v>64</v>
      </c>
      <c r="M161" t="s">
        <v>66</v>
      </c>
      <c r="N161" t="s">
        <v>27</v>
      </c>
      <c r="O161">
        <v>57830</v>
      </c>
      <c r="P161">
        <v>4626.3999999999996</v>
      </c>
      <c r="Q161">
        <v>53203.6</v>
      </c>
      <c r="R161">
        <v>3</v>
      </c>
      <c r="S161" s="15">
        <f t="shared" si="2"/>
        <v>45901</v>
      </c>
    </row>
    <row r="162" spans="1:19">
      <c r="A162" t="s">
        <v>238</v>
      </c>
      <c r="B162" s="2">
        <v>45926</v>
      </c>
      <c r="C162" t="s">
        <v>40</v>
      </c>
      <c r="D162" t="s">
        <v>89</v>
      </c>
      <c r="E162" t="s">
        <v>42</v>
      </c>
      <c r="F162" t="s">
        <v>31</v>
      </c>
      <c r="G162" t="s">
        <v>58</v>
      </c>
      <c r="H162" t="s">
        <v>59</v>
      </c>
      <c r="I162">
        <v>2</v>
      </c>
      <c r="J162">
        <v>6830</v>
      </c>
      <c r="K162">
        <v>0.05</v>
      </c>
      <c r="L162" t="s">
        <v>64</v>
      </c>
      <c r="M162" t="s">
        <v>71</v>
      </c>
      <c r="N162" t="s">
        <v>27</v>
      </c>
      <c r="O162">
        <v>13660</v>
      </c>
      <c r="P162">
        <v>683</v>
      </c>
      <c r="Q162">
        <v>12977</v>
      </c>
      <c r="R162">
        <v>2</v>
      </c>
      <c r="S162" s="15">
        <f t="shared" si="2"/>
        <v>45901</v>
      </c>
    </row>
    <row r="163" spans="1:19">
      <c r="A163" t="s">
        <v>239</v>
      </c>
      <c r="B163" s="2">
        <v>45927</v>
      </c>
      <c r="C163" t="s">
        <v>19</v>
      </c>
      <c r="D163" t="s">
        <v>103</v>
      </c>
      <c r="E163" t="s">
        <v>21</v>
      </c>
      <c r="F163" t="s">
        <v>53</v>
      </c>
      <c r="G163" t="s">
        <v>95</v>
      </c>
      <c r="H163" t="s">
        <v>24</v>
      </c>
      <c r="I163">
        <v>3</v>
      </c>
      <c r="J163">
        <v>21800</v>
      </c>
      <c r="K163">
        <v>0.05</v>
      </c>
      <c r="L163" t="s">
        <v>64</v>
      </c>
      <c r="M163" t="s">
        <v>38</v>
      </c>
      <c r="N163" t="s">
        <v>27</v>
      </c>
      <c r="O163">
        <v>65400</v>
      </c>
      <c r="P163">
        <v>3270</v>
      </c>
      <c r="Q163">
        <v>62130</v>
      </c>
      <c r="R163">
        <v>2</v>
      </c>
      <c r="S163" s="15">
        <f t="shared" si="2"/>
        <v>45901</v>
      </c>
    </row>
    <row r="164" spans="1:19">
      <c r="A164" t="s">
        <v>240</v>
      </c>
      <c r="B164" s="2">
        <v>45927</v>
      </c>
      <c r="C164" t="s">
        <v>40</v>
      </c>
      <c r="D164" t="s">
        <v>47</v>
      </c>
      <c r="E164" t="s">
        <v>21</v>
      </c>
      <c r="F164" t="s">
        <v>22</v>
      </c>
      <c r="G164" t="s">
        <v>43</v>
      </c>
      <c r="H164" t="s">
        <v>33</v>
      </c>
      <c r="I164">
        <v>1</v>
      </c>
      <c r="J164">
        <v>990</v>
      </c>
      <c r="K164">
        <v>0.03</v>
      </c>
      <c r="L164" t="s">
        <v>64</v>
      </c>
      <c r="M164" t="s">
        <v>44</v>
      </c>
      <c r="N164" t="s">
        <v>27</v>
      </c>
      <c r="O164">
        <v>990</v>
      </c>
      <c r="P164">
        <v>29.7</v>
      </c>
      <c r="Q164">
        <v>960.3</v>
      </c>
      <c r="R164">
        <v>2</v>
      </c>
      <c r="S164" s="15">
        <f t="shared" si="2"/>
        <v>45901</v>
      </c>
    </row>
    <row r="165" spans="1:19">
      <c r="A165" t="s">
        <v>241</v>
      </c>
      <c r="B165" s="2">
        <v>45927</v>
      </c>
      <c r="C165" t="s">
        <v>29</v>
      </c>
      <c r="D165" t="s">
        <v>85</v>
      </c>
      <c r="E165" t="s">
        <v>70</v>
      </c>
      <c r="F165" t="s">
        <v>22</v>
      </c>
      <c r="G165" t="s">
        <v>105</v>
      </c>
      <c r="H165" t="s">
        <v>24</v>
      </c>
      <c r="I165">
        <v>1</v>
      </c>
      <c r="J165">
        <v>3280</v>
      </c>
      <c r="K165">
        <v>0.08</v>
      </c>
      <c r="L165" t="s">
        <v>34</v>
      </c>
      <c r="M165" t="s">
        <v>55</v>
      </c>
      <c r="N165" t="s">
        <v>45</v>
      </c>
      <c r="O165">
        <v>0</v>
      </c>
      <c r="P165">
        <v>0</v>
      </c>
      <c r="Q165">
        <v>0</v>
      </c>
      <c r="S165" s="15">
        <f t="shared" si="2"/>
        <v>45901</v>
      </c>
    </row>
    <row r="166" spans="1:19">
      <c r="A166" t="s">
        <v>242</v>
      </c>
      <c r="B166" s="2">
        <v>45927</v>
      </c>
      <c r="C166" t="s">
        <v>29</v>
      </c>
      <c r="D166" t="s">
        <v>78</v>
      </c>
      <c r="E166" t="s">
        <v>21</v>
      </c>
      <c r="F166" t="s">
        <v>22</v>
      </c>
      <c r="G166" t="s">
        <v>149</v>
      </c>
      <c r="H166" t="s">
        <v>33</v>
      </c>
      <c r="I166">
        <v>3</v>
      </c>
      <c r="J166">
        <v>3580</v>
      </c>
      <c r="K166">
        <v>0.08</v>
      </c>
      <c r="L166" t="s">
        <v>68</v>
      </c>
      <c r="M166" t="s">
        <v>35</v>
      </c>
      <c r="N166" t="s">
        <v>27</v>
      </c>
      <c r="O166">
        <v>10740</v>
      </c>
      <c r="P166">
        <v>859.2</v>
      </c>
      <c r="Q166">
        <v>9880.7999999999993</v>
      </c>
      <c r="R166">
        <v>4</v>
      </c>
      <c r="S166" s="15">
        <f t="shared" si="2"/>
        <v>45901</v>
      </c>
    </row>
    <row r="167" spans="1:19">
      <c r="A167" t="s">
        <v>243</v>
      </c>
      <c r="B167" s="2">
        <v>45928</v>
      </c>
      <c r="C167" t="s">
        <v>29</v>
      </c>
      <c r="D167" t="s">
        <v>61</v>
      </c>
      <c r="E167" t="s">
        <v>42</v>
      </c>
      <c r="F167" t="s">
        <v>22</v>
      </c>
      <c r="G167" t="s">
        <v>23</v>
      </c>
      <c r="H167" t="s">
        <v>24</v>
      </c>
      <c r="I167">
        <v>3</v>
      </c>
      <c r="J167">
        <v>29910</v>
      </c>
      <c r="K167">
        <v>0.05</v>
      </c>
      <c r="L167" t="s">
        <v>64</v>
      </c>
      <c r="M167" t="s">
        <v>35</v>
      </c>
      <c r="N167" t="s">
        <v>27</v>
      </c>
      <c r="O167">
        <v>89730</v>
      </c>
      <c r="P167">
        <v>4486.5</v>
      </c>
      <c r="Q167">
        <v>85243.5</v>
      </c>
      <c r="R167">
        <v>4</v>
      </c>
      <c r="S167" s="15">
        <f t="shared" si="2"/>
        <v>45901</v>
      </c>
    </row>
    <row r="168" spans="1:19">
      <c r="A168" t="s">
        <v>244</v>
      </c>
      <c r="B168" s="2">
        <v>45928</v>
      </c>
      <c r="C168" t="s">
        <v>82</v>
      </c>
      <c r="D168" t="s">
        <v>83</v>
      </c>
      <c r="E168" t="s">
        <v>42</v>
      </c>
      <c r="F168" t="s">
        <v>31</v>
      </c>
      <c r="G168" t="s">
        <v>58</v>
      </c>
      <c r="H168" t="s">
        <v>59</v>
      </c>
      <c r="I168">
        <v>1</v>
      </c>
      <c r="J168">
        <v>7040</v>
      </c>
      <c r="K168">
        <v>0.03</v>
      </c>
      <c r="L168" t="s">
        <v>68</v>
      </c>
      <c r="M168" t="s">
        <v>55</v>
      </c>
      <c r="N168" t="s">
        <v>27</v>
      </c>
      <c r="O168">
        <v>7040</v>
      </c>
      <c r="P168">
        <v>211.2</v>
      </c>
      <c r="Q168">
        <v>6828.8</v>
      </c>
      <c r="R168">
        <v>2</v>
      </c>
      <c r="S168" s="15">
        <f t="shared" si="2"/>
        <v>45901</v>
      </c>
    </row>
    <row r="169" spans="1:19">
      <c r="A169" t="s">
        <v>245</v>
      </c>
      <c r="B169" s="2">
        <v>45928</v>
      </c>
      <c r="C169" t="s">
        <v>40</v>
      </c>
      <c r="D169" t="s">
        <v>47</v>
      </c>
      <c r="E169" t="s">
        <v>21</v>
      </c>
      <c r="F169" t="s">
        <v>22</v>
      </c>
      <c r="G169" t="s">
        <v>73</v>
      </c>
      <c r="H169" t="s">
        <v>74</v>
      </c>
      <c r="I169">
        <v>1</v>
      </c>
      <c r="J169">
        <v>11810</v>
      </c>
      <c r="K169">
        <v>0</v>
      </c>
      <c r="L169" t="s">
        <v>68</v>
      </c>
      <c r="M169" t="s">
        <v>55</v>
      </c>
      <c r="N169" t="s">
        <v>27</v>
      </c>
      <c r="O169">
        <v>11810</v>
      </c>
      <c r="P169">
        <v>0</v>
      </c>
      <c r="Q169">
        <v>11810</v>
      </c>
      <c r="R169">
        <v>7</v>
      </c>
      <c r="S169" s="15">
        <f t="shared" si="2"/>
        <v>45901</v>
      </c>
    </row>
    <row r="170" spans="1:19">
      <c r="A170" t="s">
        <v>246</v>
      </c>
      <c r="B170" s="2">
        <v>45928</v>
      </c>
      <c r="C170" t="s">
        <v>40</v>
      </c>
      <c r="D170" t="s">
        <v>115</v>
      </c>
      <c r="E170" t="s">
        <v>21</v>
      </c>
      <c r="F170" t="s">
        <v>22</v>
      </c>
      <c r="G170" t="s">
        <v>43</v>
      </c>
      <c r="H170" t="s">
        <v>33</v>
      </c>
      <c r="I170">
        <v>2</v>
      </c>
      <c r="J170">
        <v>1000</v>
      </c>
      <c r="K170">
        <v>0</v>
      </c>
      <c r="L170" t="s">
        <v>54</v>
      </c>
      <c r="M170" t="s">
        <v>66</v>
      </c>
      <c r="N170" t="s">
        <v>27</v>
      </c>
      <c r="O170">
        <v>2000</v>
      </c>
      <c r="P170">
        <v>0</v>
      </c>
      <c r="Q170">
        <v>2000</v>
      </c>
      <c r="R170">
        <v>5</v>
      </c>
      <c r="S170" s="15">
        <f t="shared" si="2"/>
        <v>45901</v>
      </c>
    </row>
    <row r="171" spans="1:19">
      <c r="A171" t="s">
        <v>247</v>
      </c>
      <c r="B171" s="2">
        <v>45929</v>
      </c>
      <c r="C171" t="s">
        <v>40</v>
      </c>
      <c r="D171" t="s">
        <v>115</v>
      </c>
      <c r="E171" t="s">
        <v>42</v>
      </c>
      <c r="F171" t="s">
        <v>53</v>
      </c>
      <c r="G171" t="s">
        <v>23</v>
      </c>
      <c r="H171" t="s">
        <v>24</v>
      </c>
      <c r="I171">
        <v>2</v>
      </c>
      <c r="J171">
        <v>27300</v>
      </c>
      <c r="K171">
        <v>0.08</v>
      </c>
      <c r="L171" t="s">
        <v>34</v>
      </c>
      <c r="M171" t="s">
        <v>44</v>
      </c>
      <c r="N171" t="s">
        <v>27</v>
      </c>
      <c r="O171">
        <v>54600</v>
      </c>
      <c r="P171">
        <v>4368</v>
      </c>
      <c r="Q171">
        <v>50232</v>
      </c>
      <c r="R171">
        <v>3</v>
      </c>
      <c r="S171" s="15">
        <f t="shared" si="2"/>
        <v>45901</v>
      </c>
    </row>
    <row r="172" spans="1:19">
      <c r="A172" t="s">
        <v>248</v>
      </c>
      <c r="B172" s="2">
        <v>45930</v>
      </c>
      <c r="C172" t="s">
        <v>29</v>
      </c>
      <c r="D172" t="s">
        <v>78</v>
      </c>
      <c r="E172" t="s">
        <v>70</v>
      </c>
      <c r="F172" t="s">
        <v>22</v>
      </c>
      <c r="G172" t="s">
        <v>23</v>
      </c>
      <c r="H172" t="s">
        <v>24</v>
      </c>
      <c r="I172">
        <v>1</v>
      </c>
      <c r="J172">
        <v>27340</v>
      </c>
      <c r="K172">
        <v>0.05</v>
      </c>
      <c r="L172" t="s">
        <v>54</v>
      </c>
      <c r="M172" t="s">
        <v>55</v>
      </c>
      <c r="N172" t="s">
        <v>27</v>
      </c>
      <c r="O172">
        <v>27340</v>
      </c>
      <c r="P172">
        <v>1367</v>
      </c>
      <c r="Q172">
        <v>25973</v>
      </c>
      <c r="R172">
        <v>2</v>
      </c>
      <c r="S172" s="15">
        <f t="shared" si="2"/>
        <v>45901</v>
      </c>
    </row>
    <row r="173" spans="1:19">
      <c r="A173" t="s">
        <v>249</v>
      </c>
      <c r="B173" s="2">
        <v>45930</v>
      </c>
      <c r="C173" t="s">
        <v>29</v>
      </c>
      <c r="D173" t="s">
        <v>78</v>
      </c>
      <c r="E173" t="s">
        <v>21</v>
      </c>
      <c r="F173" t="s">
        <v>22</v>
      </c>
      <c r="G173" t="s">
        <v>149</v>
      </c>
      <c r="H173" t="s">
        <v>33</v>
      </c>
      <c r="I173">
        <v>1</v>
      </c>
      <c r="J173">
        <v>3400</v>
      </c>
      <c r="K173">
        <v>0.05</v>
      </c>
      <c r="L173" t="s">
        <v>54</v>
      </c>
      <c r="M173" t="s">
        <v>55</v>
      </c>
      <c r="N173" t="s">
        <v>27</v>
      </c>
      <c r="O173">
        <v>3400</v>
      </c>
      <c r="P173">
        <v>170</v>
      </c>
      <c r="Q173">
        <v>3230</v>
      </c>
      <c r="R173">
        <v>3</v>
      </c>
      <c r="S173" s="15">
        <f t="shared" si="2"/>
        <v>45901</v>
      </c>
    </row>
    <row r="174" spans="1:19">
      <c r="A174" t="s">
        <v>250</v>
      </c>
      <c r="B174" s="2">
        <v>45931</v>
      </c>
      <c r="C174" t="s">
        <v>40</v>
      </c>
      <c r="D174" t="s">
        <v>47</v>
      </c>
      <c r="E174" t="s">
        <v>21</v>
      </c>
      <c r="F174" t="s">
        <v>53</v>
      </c>
      <c r="G174" t="s">
        <v>32</v>
      </c>
      <c r="H174" t="s">
        <v>33</v>
      </c>
      <c r="I174">
        <v>3</v>
      </c>
      <c r="J174">
        <v>2510</v>
      </c>
      <c r="K174">
        <v>0.05</v>
      </c>
      <c r="L174" t="s">
        <v>34</v>
      </c>
      <c r="M174" t="s">
        <v>35</v>
      </c>
      <c r="N174" t="s">
        <v>45</v>
      </c>
      <c r="O174">
        <v>0</v>
      </c>
      <c r="P174">
        <v>0</v>
      </c>
      <c r="Q174">
        <v>0</v>
      </c>
      <c r="S174" s="15">
        <f t="shared" si="2"/>
        <v>45931</v>
      </c>
    </row>
    <row r="175" spans="1:19">
      <c r="A175" t="s">
        <v>251</v>
      </c>
      <c r="B175" s="2">
        <v>45932</v>
      </c>
      <c r="C175" t="s">
        <v>82</v>
      </c>
      <c r="D175" t="s">
        <v>178</v>
      </c>
      <c r="E175" t="s">
        <v>70</v>
      </c>
      <c r="F175" t="s">
        <v>31</v>
      </c>
      <c r="G175" t="s">
        <v>58</v>
      </c>
      <c r="H175" t="s">
        <v>59</v>
      </c>
      <c r="I175">
        <v>4</v>
      </c>
      <c r="J175">
        <v>6720</v>
      </c>
      <c r="K175">
        <v>0.15</v>
      </c>
      <c r="L175" t="s">
        <v>68</v>
      </c>
      <c r="M175" t="s">
        <v>26</v>
      </c>
      <c r="N175" t="s">
        <v>27</v>
      </c>
      <c r="O175">
        <v>26880</v>
      </c>
      <c r="P175">
        <v>4032</v>
      </c>
      <c r="Q175">
        <v>22848</v>
      </c>
      <c r="R175">
        <v>3</v>
      </c>
      <c r="S175" s="15">
        <f t="shared" si="2"/>
        <v>45931</v>
      </c>
    </row>
    <row r="176" spans="1:19">
      <c r="A176" t="s">
        <v>252</v>
      </c>
      <c r="B176" s="2">
        <v>45933</v>
      </c>
      <c r="C176" t="s">
        <v>40</v>
      </c>
      <c r="D176" t="s">
        <v>41</v>
      </c>
      <c r="E176" t="s">
        <v>70</v>
      </c>
      <c r="F176" t="s">
        <v>31</v>
      </c>
      <c r="G176" t="s">
        <v>149</v>
      </c>
      <c r="H176" t="s">
        <v>33</v>
      </c>
      <c r="I176">
        <v>1</v>
      </c>
      <c r="J176">
        <v>3410</v>
      </c>
      <c r="K176">
        <v>0.05</v>
      </c>
      <c r="L176" t="s">
        <v>64</v>
      </c>
      <c r="M176" t="s">
        <v>35</v>
      </c>
      <c r="N176" t="s">
        <v>27</v>
      </c>
      <c r="O176">
        <v>3410</v>
      </c>
      <c r="P176">
        <v>170.5</v>
      </c>
      <c r="Q176">
        <v>3239.5</v>
      </c>
      <c r="R176">
        <v>5</v>
      </c>
      <c r="S176" s="15">
        <f t="shared" si="2"/>
        <v>45931</v>
      </c>
    </row>
    <row r="177" spans="1:19">
      <c r="A177" t="s">
        <v>253</v>
      </c>
      <c r="B177" s="2">
        <v>45934</v>
      </c>
      <c r="C177" t="s">
        <v>40</v>
      </c>
      <c r="D177" t="s">
        <v>89</v>
      </c>
      <c r="E177" t="s">
        <v>21</v>
      </c>
      <c r="F177" t="s">
        <v>31</v>
      </c>
      <c r="G177" t="s">
        <v>101</v>
      </c>
      <c r="H177" t="s">
        <v>33</v>
      </c>
      <c r="I177">
        <v>3</v>
      </c>
      <c r="J177">
        <v>1700</v>
      </c>
      <c r="K177">
        <v>0</v>
      </c>
      <c r="L177" t="s">
        <v>34</v>
      </c>
      <c r="M177" t="s">
        <v>71</v>
      </c>
      <c r="N177" t="s">
        <v>27</v>
      </c>
      <c r="O177">
        <v>5100</v>
      </c>
      <c r="P177">
        <v>0</v>
      </c>
      <c r="Q177">
        <v>5100</v>
      </c>
      <c r="R177">
        <v>2</v>
      </c>
      <c r="S177" s="15">
        <f t="shared" si="2"/>
        <v>45931</v>
      </c>
    </row>
    <row r="178" spans="1:19">
      <c r="A178" t="s">
        <v>254</v>
      </c>
      <c r="B178" s="2">
        <v>45935</v>
      </c>
      <c r="C178" t="s">
        <v>40</v>
      </c>
      <c r="D178" t="s">
        <v>41</v>
      </c>
      <c r="E178" t="s">
        <v>21</v>
      </c>
      <c r="F178" t="s">
        <v>22</v>
      </c>
      <c r="G178" t="s">
        <v>37</v>
      </c>
      <c r="H178" t="s">
        <v>24</v>
      </c>
      <c r="I178">
        <v>2</v>
      </c>
      <c r="J178">
        <v>66280</v>
      </c>
      <c r="K178">
        <v>0.03</v>
      </c>
      <c r="L178" t="s">
        <v>34</v>
      </c>
      <c r="M178" t="s">
        <v>50</v>
      </c>
      <c r="N178" t="s">
        <v>27</v>
      </c>
      <c r="O178">
        <v>132560</v>
      </c>
      <c r="P178">
        <v>3976.8</v>
      </c>
      <c r="Q178">
        <v>128583.2</v>
      </c>
      <c r="R178">
        <v>4</v>
      </c>
      <c r="S178" s="15">
        <f t="shared" si="2"/>
        <v>45931</v>
      </c>
    </row>
    <row r="179" spans="1:19">
      <c r="A179" t="s">
        <v>255</v>
      </c>
      <c r="B179" s="2">
        <v>45935</v>
      </c>
      <c r="C179" t="s">
        <v>82</v>
      </c>
      <c r="D179" t="s">
        <v>178</v>
      </c>
      <c r="E179" t="s">
        <v>21</v>
      </c>
      <c r="F179" t="s">
        <v>22</v>
      </c>
      <c r="G179" t="s">
        <v>95</v>
      </c>
      <c r="H179" t="s">
        <v>24</v>
      </c>
      <c r="I179">
        <v>1</v>
      </c>
      <c r="J179">
        <v>23320</v>
      </c>
      <c r="K179">
        <v>0.05</v>
      </c>
      <c r="L179" t="s">
        <v>25</v>
      </c>
      <c r="M179" t="s">
        <v>26</v>
      </c>
      <c r="N179" t="s">
        <v>27</v>
      </c>
      <c r="O179">
        <v>23320</v>
      </c>
      <c r="P179">
        <v>1166</v>
      </c>
      <c r="Q179">
        <v>22154</v>
      </c>
      <c r="R179">
        <v>5</v>
      </c>
      <c r="S179" s="15">
        <f t="shared" si="2"/>
        <v>45931</v>
      </c>
    </row>
    <row r="180" spans="1:19">
      <c r="A180" t="s">
        <v>256</v>
      </c>
      <c r="B180" s="2">
        <v>45936</v>
      </c>
      <c r="C180" t="s">
        <v>29</v>
      </c>
      <c r="D180" t="s">
        <v>30</v>
      </c>
      <c r="E180" t="s">
        <v>21</v>
      </c>
      <c r="F180" t="s">
        <v>22</v>
      </c>
      <c r="G180" t="s">
        <v>37</v>
      </c>
      <c r="H180" t="s">
        <v>24</v>
      </c>
      <c r="I180">
        <v>1</v>
      </c>
      <c r="J180">
        <v>57700</v>
      </c>
      <c r="K180">
        <v>0.03</v>
      </c>
      <c r="L180" t="s">
        <v>25</v>
      </c>
      <c r="M180" t="s">
        <v>71</v>
      </c>
      <c r="N180" t="s">
        <v>27</v>
      </c>
      <c r="O180">
        <v>57700</v>
      </c>
      <c r="P180">
        <v>1731</v>
      </c>
      <c r="Q180">
        <v>55969</v>
      </c>
      <c r="R180">
        <v>4</v>
      </c>
      <c r="S180" s="15">
        <f t="shared" si="2"/>
        <v>45931</v>
      </c>
    </row>
    <row r="181" spans="1:19">
      <c r="A181" t="s">
        <v>257</v>
      </c>
      <c r="B181" s="2">
        <v>45937</v>
      </c>
      <c r="C181" t="s">
        <v>82</v>
      </c>
      <c r="D181" t="s">
        <v>83</v>
      </c>
      <c r="E181" t="s">
        <v>42</v>
      </c>
      <c r="F181" t="s">
        <v>31</v>
      </c>
      <c r="G181" t="s">
        <v>43</v>
      </c>
      <c r="H181" t="s">
        <v>33</v>
      </c>
      <c r="I181">
        <v>1</v>
      </c>
      <c r="J181">
        <v>1010</v>
      </c>
      <c r="K181">
        <v>0.08</v>
      </c>
      <c r="L181" t="s">
        <v>54</v>
      </c>
      <c r="M181" t="s">
        <v>26</v>
      </c>
      <c r="N181" t="s">
        <v>27</v>
      </c>
      <c r="O181">
        <v>1010</v>
      </c>
      <c r="P181">
        <v>80.8</v>
      </c>
      <c r="Q181">
        <v>929.2</v>
      </c>
      <c r="R181">
        <v>4</v>
      </c>
      <c r="S181" s="15">
        <f t="shared" si="2"/>
        <v>45931</v>
      </c>
    </row>
    <row r="182" spans="1:19">
      <c r="A182" t="s">
        <v>258</v>
      </c>
      <c r="B182" s="2">
        <v>45937</v>
      </c>
      <c r="C182" t="s">
        <v>82</v>
      </c>
      <c r="D182" t="s">
        <v>122</v>
      </c>
      <c r="E182" t="s">
        <v>42</v>
      </c>
      <c r="F182" t="s">
        <v>22</v>
      </c>
      <c r="G182" t="s">
        <v>152</v>
      </c>
      <c r="H182" t="s">
        <v>74</v>
      </c>
      <c r="I182">
        <v>2</v>
      </c>
      <c r="J182">
        <v>14130</v>
      </c>
      <c r="K182">
        <v>0.15</v>
      </c>
      <c r="L182" t="s">
        <v>34</v>
      </c>
      <c r="M182" t="s">
        <v>38</v>
      </c>
      <c r="N182" t="s">
        <v>27</v>
      </c>
      <c r="O182">
        <v>28260</v>
      </c>
      <c r="P182">
        <v>4239</v>
      </c>
      <c r="Q182">
        <v>24021</v>
      </c>
      <c r="R182">
        <v>2</v>
      </c>
      <c r="S182" s="15">
        <f t="shared" si="2"/>
        <v>45931</v>
      </c>
    </row>
    <row r="183" spans="1:19">
      <c r="A183" t="s">
        <v>259</v>
      </c>
      <c r="B183" s="2">
        <v>45938</v>
      </c>
      <c r="C183" t="s">
        <v>40</v>
      </c>
      <c r="D183" t="s">
        <v>115</v>
      </c>
      <c r="E183" t="s">
        <v>21</v>
      </c>
      <c r="F183" t="s">
        <v>31</v>
      </c>
      <c r="G183" t="s">
        <v>58</v>
      </c>
      <c r="H183" t="s">
        <v>59</v>
      </c>
      <c r="I183">
        <v>1</v>
      </c>
      <c r="J183">
        <v>6950</v>
      </c>
      <c r="K183">
        <v>0.03</v>
      </c>
      <c r="L183" t="s">
        <v>34</v>
      </c>
      <c r="M183" t="s">
        <v>44</v>
      </c>
      <c r="N183" t="s">
        <v>45</v>
      </c>
      <c r="O183">
        <v>0</v>
      </c>
      <c r="P183">
        <v>0</v>
      </c>
      <c r="Q183">
        <v>0</v>
      </c>
      <c r="S183" s="15">
        <f t="shared" si="2"/>
        <v>45931</v>
      </c>
    </row>
    <row r="184" spans="1:19">
      <c r="A184" t="s">
        <v>260</v>
      </c>
      <c r="B184" s="2">
        <v>45938</v>
      </c>
      <c r="C184" t="s">
        <v>19</v>
      </c>
      <c r="D184" t="s">
        <v>52</v>
      </c>
      <c r="E184" t="s">
        <v>21</v>
      </c>
      <c r="F184" t="s">
        <v>22</v>
      </c>
      <c r="G184" t="s">
        <v>152</v>
      </c>
      <c r="H184" t="s">
        <v>74</v>
      </c>
      <c r="I184">
        <v>2</v>
      </c>
      <c r="J184">
        <v>13910</v>
      </c>
      <c r="K184">
        <v>0.08</v>
      </c>
      <c r="L184" t="s">
        <v>54</v>
      </c>
      <c r="M184" t="s">
        <v>26</v>
      </c>
      <c r="N184" t="s">
        <v>27</v>
      </c>
      <c r="O184">
        <v>27820</v>
      </c>
      <c r="P184">
        <v>2225.6</v>
      </c>
      <c r="Q184">
        <v>25594.400000000001</v>
      </c>
      <c r="R184">
        <v>4</v>
      </c>
      <c r="S184" s="15">
        <f t="shared" si="2"/>
        <v>45931</v>
      </c>
    </row>
    <row r="185" spans="1:19">
      <c r="A185" t="s">
        <v>261</v>
      </c>
      <c r="B185" s="2">
        <v>45940</v>
      </c>
      <c r="C185" t="s">
        <v>29</v>
      </c>
      <c r="D185" t="s">
        <v>78</v>
      </c>
      <c r="E185" t="s">
        <v>42</v>
      </c>
      <c r="F185" t="s">
        <v>53</v>
      </c>
      <c r="G185" t="s">
        <v>23</v>
      </c>
      <c r="H185" t="s">
        <v>24</v>
      </c>
      <c r="I185">
        <v>2</v>
      </c>
      <c r="J185">
        <v>26710</v>
      </c>
      <c r="K185">
        <v>0.05</v>
      </c>
      <c r="L185" t="s">
        <v>34</v>
      </c>
      <c r="M185" t="s">
        <v>66</v>
      </c>
      <c r="N185" t="s">
        <v>27</v>
      </c>
      <c r="O185">
        <v>53420</v>
      </c>
      <c r="P185">
        <v>2671</v>
      </c>
      <c r="Q185">
        <v>50749</v>
      </c>
      <c r="R185">
        <v>3</v>
      </c>
      <c r="S185" s="15">
        <f t="shared" si="2"/>
        <v>45931</v>
      </c>
    </row>
    <row r="186" spans="1:19">
      <c r="A186" t="s">
        <v>262</v>
      </c>
      <c r="B186" s="2">
        <v>45940</v>
      </c>
      <c r="C186" t="s">
        <v>82</v>
      </c>
      <c r="D186" t="s">
        <v>178</v>
      </c>
      <c r="E186" t="s">
        <v>42</v>
      </c>
      <c r="F186" t="s">
        <v>22</v>
      </c>
      <c r="G186" t="s">
        <v>95</v>
      </c>
      <c r="H186" t="s">
        <v>24</v>
      </c>
      <c r="I186">
        <v>2</v>
      </c>
      <c r="J186">
        <v>20980</v>
      </c>
      <c r="K186">
        <v>0.05</v>
      </c>
      <c r="L186" t="s">
        <v>64</v>
      </c>
      <c r="M186" t="s">
        <v>66</v>
      </c>
      <c r="N186" t="s">
        <v>27</v>
      </c>
      <c r="O186">
        <v>41960</v>
      </c>
      <c r="P186">
        <v>2098</v>
      </c>
      <c r="Q186">
        <v>39862</v>
      </c>
      <c r="R186">
        <v>3</v>
      </c>
      <c r="S186" s="15">
        <f t="shared" si="2"/>
        <v>45931</v>
      </c>
    </row>
    <row r="187" spans="1:19">
      <c r="A187" t="s">
        <v>263</v>
      </c>
      <c r="B187" s="2">
        <v>45941</v>
      </c>
      <c r="C187" t="s">
        <v>40</v>
      </c>
      <c r="D187" t="s">
        <v>47</v>
      </c>
      <c r="E187" t="s">
        <v>21</v>
      </c>
      <c r="F187" t="s">
        <v>53</v>
      </c>
      <c r="G187" t="s">
        <v>58</v>
      </c>
      <c r="H187" t="s">
        <v>59</v>
      </c>
      <c r="I187">
        <v>1</v>
      </c>
      <c r="J187">
        <v>7650</v>
      </c>
      <c r="K187">
        <v>0</v>
      </c>
      <c r="L187" t="s">
        <v>68</v>
      </c>
      <c r="M187" t="s">
        <v>26</v>
      </c>
      <c r="N187" t="s">
        <v>27</v>
      </c>
      <c r="O187">
        <v>7650</v>
      </c>
      <c r="P187">
        <v>0</v>
      </c>
      <c r="Q187">
        <v>7650</v>
      </c>
      <c r="R187">
        <v>3</v>
      </c>
      <c r="S187" s="15">
        <f t="shared" si="2"/>
        <v>45931</v>
      </c>
    </row>
    <row r="188" spans="1:19">
      <c r="A188" t="s">
        <v>264</v>
      </c>
      <c r="B188" s="2">
        <v>45942</v>
      </c>
      <c r="C188" t="s">
        <v>82</v>
      </c>
      <c r="D188" t="s">
        <v>83</v>
      </c>
      <c r="E188" t="s">
        <v>42</v>
      </c>
      <c r="F188" t="s">
        <v>22</v>
      </c>
      <c r="G188" t="s">
        <v>23</v>
      </c>
      <c r="H188" t="s">
        <v>24</v>
      </c>
      <c r="I188">
        <v>1</v>
      </c>
      <c r="J188">
        <v>28240</v>
      </c>
      <c r="K188">
        <v>0.1</v>
      </c>
      <c r="L188" t="s">
        <v>64</v>
      </c>
      <c r="M188" t="s">
        <v>71</v>
      </c>
      <c r="N188" t="s">
        <v>27</v>
      </c>
      <c r="O188">
        <v>28240</v>
      </c>
      <c r="P188">
        <v>2824</v>
      </c>
      <c r="Q188">
        <v>25416</v>
      </c>
      <c r="R188">
        <v>5</v>
      </c>
      <c r="S188" s="15">
        <f t="shared" si="2"/>
        <v>45931</v>
      </c>
    </row>
    <row r="189" spans="1:19">
      <c r="A189" t="s">
        <v>265</v>
      </c>
      <c r="B189" s="2">
        <v>45942</v>
      </c>
      <c r="C189" t="s">
        <v>19</v>
      </c>
      <c r="D189" t="s">
        <v>103</v>
      </c>
      <c r="E189" t="s">
        <v>21</v>
      </c>
      <c r="F189" t="s">
        <v>22</v>
      </c>
      <c r="G189" t="s">
        <v>62</v>
      </c>
      <c r="H189" t="s">
        <v>33</v>
      </c>
      <c r="I189">
        <v>2</v>
      </c>
      <c r="J189">
        <v>1850</v>
      </c>
      <c r="K189">
        <v>0.05</v>
      </c>
      <c r="L189" t="s">
        <v>25</v>
      </c>
      <c r="M189" t="s">
        <v>44</v>
      </c>
      <c r="N189" t="s">
        <v>27</v>
      </c>
      <c r="O189">
        <v>3700</v>
      </c>
      <c r="P189">
        <v>185</v>
      </c>
      <c r="Q189">
        <v>3515</v>
      </c>
      <c r="R189">
        <v>4</v>
      </c>
      <c r="S189" s="15">
        <f t="shared" si="2"/>
        <v>45931</v>
      </c>
    </row>
    <row r="190" spans="1:19">
      <c r="A190" t="s">
        <v>266</v>
      </c>
      <c r="B190" s="2">
        <v>45943</v>
      </c>
      <c r="C190" t="s">
        <v>19</v>
      </c>
      <c r="D190" t="s">
        <v>57</v>
      </c>
      <c r="E190" t="s">
        <v>42</v>
      </c>
      <c r="F190" t="s">
        <v>22</v>
      </c>
      <c r="G190" t="s">
        <v>105</v>
      </c>
      <c r="H190" t="s">
        <v>24</v>
      </c>
      <c r="I190">
        <v>1</v>
      </c>
      <c r="J190">
        <v>3010</v>
      </c>
      <c r="K190">
        <v>0</v>
      </c>
      <c r="L190" t="s">
        <v>54</v>
      </c>
      <c r="M190" t="s">
        <v>50</v>
      </c>
      <c r="N190" t="s">
        <v>27</v>
      </c>
      <c r="O190">
        <v>3010</v>
      </c>
      <c r="P190">
        <v>0</v>
      </c>
      <c r="Q190">
        <v>3010</v>
      </c>
      <c r="R190">
        <v>2</v>
      </c>
      <c r="S190" s="15">
        <f t="shared" si="2"/>
        <v>45931</v>
      </c>
    </row>
    <row r="191" spans="1:19">
      <c r="A191" t="s">
        <v>267</v>
      </c>
      <c r="B191" s="2">
        <v>45943</v>
      </c>
      <c r="C191" t="s">
        <v>29</v>
      </c>
      <c r="D191" t="s">
        <v>30</v>
      </c>
      <c r="E191" t="s">
        <v>42</v>
      </c>
      <c r="F191" t="s">
        <v>22</v>
      </c>
      <c r="G191" t="s">
        <v>58</v>
      </c>
      <c r="H191" t="s">
        <v>59</v>
      </c>
      <c r="I191">
        <v>1</v>
      </c>
      <c r="J191">
        <v>7000</v>
      </c>
      <c r="K191">
        <v>0</v>
      </c>
      <c r="L191" t="s">
        <v>25</v>
      </c>
      <c r="M191" t="s">
        <v>38</v>
      </c>
      <c r="N191" t="s">
        <v>27</v>
      </c>
      <c r="O191">
        <v>7000</v>
      </c>
      <c r="P191">
        <v>0</v>
      </c>
      <c r="Q191">
        <v>7000</v>
      </c>
      <c r="R191">
        <v>2</v>
      </c>
      <c r="S191" s="15">
        <f t="shared" si="2"/>
        <v>45931</v>
      </c>
    </row>
    <row r="192" spans="1:19">
      <c r="A192" t="s">
        <v>268</v>
      </c>
      <c r="B192" s="2">
        <v>45944</v>
      </c>
      <c r="C192" t="s">
        <v>19</v>
      </c>
      <c r="D192" t="s">
        <v>20</v>
      </c>
      <c r="E192" t="s">
        <v>42</v>
      </c>
      <c r="F192" t="s">
        <v>22</v>
      </c>
      <c r="G192" t="s">
        <v>105</v>
      </c>
      <c r="H192" t="s">
        <v>24</v>
      </c>
      <c r="I192">
        <v>2</v>
      </c>
      <c r="J192">
        <v>3200</v>
      </c>
      <c r="K192">
        <v>0.03</v>
      </c>
      <c r="L192" t="s">
        <v>68</v>
      </c>
      <c r="M192" t="s">
        <v>55</v>
      </c>
      <c r="N192" t="s">
        <v>27</v>
      </c>
      <c r="O192">
        <v>6400</v>
      </c>
      <c r="P192">
        <v>192</v>
      </c>
      <c r="Q192">
        <v>6208</v>
      </c>
      <c r="R192">
        <v>3</v>
      </c>
      <c r="S192" s="15">
        <f t="shared" si="2"/>
        <v>45931</v>
      </c>
    </row>
    <row r="193" spans="1:19">
      <c r="A193" t="s">
        <v>269</v>
      </c>
      <c r="B193" s="2">
        <v>45944</v>
      </c>
      <c r="C193" t="s">
        <v>40</v>
      </c>
      <c r="D193" t="s">
        <v>41</v>
      </c>
      <c r="E193" t="s">
        <v>70</v>
      </c>
      <c r="F193" t="s">
        <v>22</v>
      </c>
      <c r="G193" t="s">
        <v>58</v>
      </c>
      <c r="H193" t="s">
        <v>59</v>
      </c>
      <c r="I193">
        <v>2</v>
      </c>
      <c r="J193">
        <v>6740</v>
      </c>
      <c r="K193">
        <v>0.1</v>
      </c>
      <c r="L193" t="s">
        <v>68</v>
      </c>
      <c r="M193" t="s">
        <v>35</v>
      </c>
      <c r="N193" t="s">
        <v>27</v>
      </c>
      <c r="O193">
        <v>13480</v>
      </c>
      <c r="P193">
        <v>1348</v>
      </c>
      <c r="Q193">
        <v>12132</v>
      </c>
      <c r="R193">
        <v>7</v>
      </c>
      <c r="S193" s="15">
        <f t="shared" si="2"/>
        <v>45931</v>
      </c>
    </row>
    <row r="194" spans="1:19">
      <c r="A194" t="s">
        <v>270</v>
      </c>
      <c r="B194" s="2">
        <v>45944</v>
      </c>
      <c r="C194" t="s">
        <v>29</v>
      </c>
      <c r="D194" t="s">
        <v>78</v>
      </c>
      <c r="E194" t="s">
        <v>21</v>
      </c>
      <c r="F194" t="s">
        <v>31</v>
      </c>
      <c r="G194" t="s">
        <v>152</v>
      </c>
      <c r="H194" t="s">
        <v>74</v>
      </c>
      <c r="I194">
        <v>1</v>
      </c>
      <c r="J194">
        <v>13960</v>
      </c>
      <c r="K194">
        <v>0.03</v>
      </c>
      <c r="L194" t="s">
        <v>64</v>
      </c>
      <c r="M194" t="s">
        <v>66</v>
      </c>
      <c r="N194" t="s">
        <v>27</v>
      </c>
      <c r="O194">
        <v>13960</v>
      </c>
      <c r="P194">
        <v>418.8</v>
      </c>
      <c r="Q194">
        <v>13541.2</v>
      </c>
      <c r="R194">
        <v>3</v>
      </c>
      <c r="S194" s="15">
        <f t="shared" ref="S194:S257" si="3">DATE(YEAR(B194),MONTH(B194),1)</f>
        <v>45931</v>
      </c>
    </row>
    <row r="195" spans="1:19">
      <c r="A195" t="s">
        <v>271</v>
      </c>
      <c r="B195" s="2">
        <v>45945</v>
      </c>
      <c r="C195" t="s">
        <v>40</v>
      </c>
      <c r="D195" t="s">
        <v>115</v>
      </c>
      <c r="E195" t="s">
        <v>42</v>
      </c>
      <c r="F195" t="s">
        <v>22</v>
      </c>
      <c r="G195" t="s">
        <v>73</v>
      </c>
      <c r="H195" t="s">
        <v>74</v>
      </c>
      <c r="I195">
        <v>1</v>
      </c>
      <c r="J195">
        <v>11340</v>
      </c>
      <c r="K195">
        <v>0</v>
      </c>
      <c r="L195" t="s">
        <v>64</v>
      </c>
      <c r="M195" t="s">
        <v>38</v>
      </c>
      <c r="N195" t="s">
        <v>27</v>
      </c>
      <c r="O195">
        <v>11340</v>
      </c>
      <c r="P195">
        <v>0</v>
      </c>
      <c r="Q195">
        <v>11340</v>
      </c>
      <c r="R195">
        <v>4</v>
      </c>
      <c r="S195" s="15">
        <f t="shared" si="3"/>
        <v>45931</v>
      </c>
    </row>
    <row r="196" spans="1:19">
      <c r="A196" t="s">
        <v>272</v>
      </c>
      <c r="B196" s="2">
        <v>45945</v>
      </c>
      <c r="C196" t="s">
        <v>40</v>
      </c>
      <c r="D196" t="s">
        <v>41</v>
      </c>
      <c r="E196" t="s">
        <v>42</v>
      </c>
      <c r="F196" t="s">
        <v>31</v>
      </c>
      <c r="G196" t="s">
        <v>92</v>
      </c>
      <c r="H196" t="s">
        <v>24</v>
      </c>
      <c r="I196">
        <v>4</v>
      </c>
      <c r="J196">
        <v>16570</v>
      </c>
      <c r="K196">
        <v>0</v>
      </c>
      <c r="L196" t="s">
        <v>34</v>
      </c>
      <c r="M196" t="s">
        <v>71</v>
      </c>
      <c r="N196" t="s">
        <v>27</v>
      </c>
      <c r="O196">
        <v>66280</v>
      </c>
      <c r="P196">
        <v>0</v>
      </c>
      <c r="Q196">
        <v>66280</v>
      </c>
      <c r="R196">
        <v>3</v>
      </c>
      <c r="S196" s="15">
        <f t="shared" si="3"/>
        <v>45931</v>
      </c>
    </row>
    <row r="197" spans="1:19">
      <c r="A197" t="s">
        <v>273</v>
      </c>
      <c r="B197" s="2">
        <v>45945</v>
      </c>
      <c r="C197" t="s">
        <v>82</v>
      </c>
      <c r="D197" t="s">
        <v>178</v>
      </c>
      <c r="E197" t="s">
        <v>70</v>
      </c>
      <c r="F197" t="s">
        <v>22</v>
      </c>
      <c r="G197" t="s">
        <v>105</v>
      </c>
      <c r="H197" t="s">
        <v>24</v>
      </c>
      <c r="I197">
        <v>4</v>
      </c>
      <c r="J197">
        <v>3350</v>
      </c>
      <c r="K197">
        <v>0.05</v>
      </c>
      <c r="L197" t="s">
        <v>54</v>
      </c>
      <c r="M197" t="s">
        <v>38</v>
      </c>
      <c r="N197" t="s">
        <v>27</v>
      </c>
      <c r="O197">
        <v>13400</v>
      </c>
      <c r="P197">
        <v>670</v>
      </c>
      <c r="Q197">
        <v>12730</v>
      </c>
      <c r="R197">
        <v>3</v>
      </c>
      <c r="S197" s="15">
        <f t="shared" si="3"/>
        <v>45931</v>
      </c>
    </row>
    <row r="198" spans="1:19">
      <c r="A198" t="s">
        <v>274</v>
      </c>
      <c r="B198" s="2">
        <v>45946</v>
      </c>
      <c r="C198" t="s">
        <v>29</v>
      </c>
      <c r="D198" t="s">
        <v>78</v>
      </c>
      <c r="E198" t="s">
        <v>21</v>
      </c>
      <c r="F198" t="s">
        <v>31</v>
      </c>
      <c r="G198" t="s">
        <v>62</v>
      </c>
      <c r="H198" t="s">
        <v>33</v>
      </c>
      <c r="I198">
        <v>3</v>
      </c>
      <c r="J198">
        <v>1770</v>
      </c>
      <c r="K198">
        <v>0.03</v>
      </c>
      <c r="L198" t="s">
        <v>68</v>
      </c>
      <c r="M198" t="s">
        <v>26</v>
      </c>
      <c r="N198" t="s">
        <v>27</v>
      </c>
      <c r="O198">
        <v>5310</v>
      </c>
      <c r="P198">
        <v>159.30000000000001</v>
      </c>
      <c r="Q198">
        <v>5150.7</v>
      </c>
      <c r="R198">
        <v>5</v>
      </c>
      <c r="S198" s="15">
        <f t="shared" si="3"/>
        <v>45931</v>
      </c>
    </row>
    <row r="199" spans="1:19">
      <c r="A199" t="s">
        <v>275</v>
      </c>
      <c r="B199" s="2">
        <v>45946</v>
      </c>
      <c r="C199" t="s">
        <v>40</v>
      </c>
      <c r="D199" t="s">
        <v>115</v>
      </c>
      <c r="E199" t="s">
        <v>21</v>
      </c>
      <c r="F199" t="s">
        <v>22</v>
      </c>
      <c r="G199" t="s">
        <v>149</v>
      </c>
      <c r="H199" t="s">
        <v>33</v>
      </c>
      <c r="I199">
        <v>2</v>
      </c>
      <c r="J199">
        <v>3520</v>
      </c>
      <c r="K199">
        <v>0.03</v>
      </c>
      <c r="L199" t="s">
        <v>25</v>
      </c>
      <c r="M199" t="s">
        <v>50</v>
      </c>
      <c r="N199" t="s">
        <v>27</v>
      </c>
      <c r="O199">
        <v>7040</v>
      </c>
      <c r="P199">
        <v>211.2</v>
      </c>
      <c r="Q199">
        <v>6828.8</v>
      </c>
      <c r="R199">
        <v>1</v>
      </c>
      <c r="S199" s="15">
        <f t="shared" si="3"/>
        <v>45931</v>
      </c>
    </row>
    <row r="200" spans="1:19">
      <c r="A200" t="s">
        <v>276</v>
      </c>
      <c r="B200" s="2">
        <v>45947</v>
      </c>
      <c r="C200" t="s">
        <v>40</v>
      </c>
      <c r="D200" t="s">
        <v>89</v>
      </c>
      <c r="E200" t="s">
        <v>42</v>
      </c>
      <c r="F200" t="s">
        <v>22</v>
      </c>
      <c r="G200" t="s">
        <v>62</v>
      </c>
      <c r="H200" t="s">
        <v>33</v>
      </c>
      <c r="I200">
        <v>1</v>
      </c>
      <c r="J200">
        <v>1870</v>
      </c>
      <c r="K200">
        <v>0</v>
      </c>
      <c r="L200" t="s">
        <v>64</v>
      </c>
      <c r="M200" t="s">
        <v>26</v>
      </c>
      <c r="N200" t="s">
        <v>27</v>
      </c>
      <c r="O200">
        <v>1870</v>
      </c>
      <c r="P200">
        <v>0</v>
      </c>
      <c r="Q200">
        <v>1870</v>
      </c>
      <c r="R200">
        <v>7</v>
      </c>
      <c r="S200" s="15">
        <f t="shared" si="3"/>
        <v>45931</v>
      </c>
    </row>
    <row r="201" spans="1:19">
      <c r="A201" t="s">
        <v>277</v>
      </c>
      <c r="B201" s="2">
        <v>45947</v>
      </c>
      <c r="C201" t="s">
        <v>82</v>
      </c>
      <c r="D201" t="s">
        <v>122</v>
      </c>
      <c r="E201" t="s">
        <v>21</v>
      </c>
      <c r="F201" t="s">
        <v>22</v>
      </c>
      <c r="G201" t="s">
        <v>92</v>
      </c>
      <c r="H201" t="s">
        <v>24</v>
      </c>
      <c r="I201">
        <v>2</v>
      </c>
      <c r="J201">
        <v>16140</v>
      </c>
      <c r="K201">
        <v>0</v>
      </c>
      <c r="L201" t="s">
        <v>68</v>
      </c>
      <c r="M201" t="s">
        <v>26</v>
      </c>
      <c r="N201" t="s">
        <v>130</v>
      </c>
      <c r="O201">
        <v>32280</v>
      </c>
      <c r="P201">
        <v>0</v>
      </c>
      <c r="Q201">
        <v>32280</v>
      </c>
      <c r="R201">
        <v>2</v>
      </c>
      <c r="S201" s="15">
        <f t="shared" si="3"/>
        <v>45931</v>
      </c>
    </row>
    <row r="202" spans="1:19">
      <c r="A202" t="s">
        <v>278</v>
      </c>
      <c r="B202" s="2">
        <v>45947</v>
      </c>
      <c r="C202" t="s">
        <v>40</v>
      </c>
      <c r="D202" t="s">
        <v>89</v>
      </c>
      <c r="E202" t="s">
        <v>21</v>
      </c>
      <c r="F202" t="s">
        <v>22</v>
      </c>
      <c r="G202" t="s">
        <v>37</v>
      </c>
      <c r="H202" t="s">
        <v>24</v>
      </c>
      <c r="I202">
        <v>2</v>
      </c>
      <c r="J202">
        <v>61220</v>
      </c>
      <c r="K202">
        <v>0.08</v>
      </c>
      <c r="L202" t="s">
        <v>68</v>
      </c>
      <c r="M202" t="s">
        <v>38</v>
      </c>
      <c r="N202" t="s">
        <v>27</v>
      </c>
      <c r="O202">
        <v>122440</v>
      </c>
      <c r="P202">
        <v>9795.2000000000007</v>
      </c>
      <c r="Q202">
        <v>112644.8</v>
      </c>
      <c r="R202">
        <v>3</v>
      </c>
      <c r="S202" s="15">
        <f t="shared" si="3"/>
        <v>45931</v>
      </c>
    </row>
    <row r="203" spans="1:19">
      <c r="A203" t="s">
        <v>279</v>
      </c>
      <c r="B203" s="2">
        <v>45947</v>
      </c>
      <c r="C203" t="s">
        <v>19</v>
      </c>
      <c r="D203" t="s">
        <v>52</v>
      </c>
      <c r="E203" t="s">
        <v>70</v>
      </c>
      <c r="F203" t="s">
        <v>22</v>
      </c>
      <c r="G203" t="s">
        <v>73</v>
      </c>
      <c r="H203" t="s">
        <v>74</v>
      </c>
      <c r="I203">
        <v>1</v>
      </c>
      <c r="J203">
        <v>10870</v>
      </c>
      <c r="K203">
        <v>0</v>
      </c>
      <c r="L203" t="s">
        <v>64</v>
      </c>
      <c r="M203" t="s">
        <v>44</v>
      </c>
      <c r="N203" t="s">
        <v>27</v>
      </c>
      <c r="O203">
        <v>10870</v>
      </c>
      <c r="P203">
        <v>0</v>
      </c>
      <c r="Q203">
        <v>10870</v>
      </c>
      <c r="R203">
        <v>5</v>
      </c>
      <c r="S203" s="15">
        <f t="shared" si="3"/>
        <v>45931</v>
      </c>
    </row>
    <row r="204" spans="1:19">
      <c r="A204" t="s">
        <v>280</v>
      </c>
      <c r="B204" s="2">
        <v>45948</v>
      </c>
      <c r="C204" t="s">
        <v>40</v>
      </c>
      <c r="D204" t="s">
        <v>41</v>
      </c>
      <c r="E204" t="s">
        <v>42</v>
      </c>
      <c r="F204" t="s">
        <v>22</v>
      </c>
      <c r="G204" t="s">
        <v>62</v>
      </c>
      <c r="H204" t="s">
        <v>33</v>
      </c>
      <c r="I204">
        <v>1</v>
      </c>
      <c r="J204">
        <v>1760</v>
      </c>
      <c r="K204">
        <v>0.1</v>
      </c>
      <c r="L204" t="s">
        <v>25</v>
      </c>
      <c r="M204" t="s">
        <v>44</v>
      </c>
      <c r="N204" t="s">
        <v>27</v>
      </c>
      <c r="O204">
        <v>1760</v>
      </c>
      <c r="P204">
        <v>176</v>
      </c>
      <c r="Q204">
        <v>1584</v>
      </c>
      <c r="R204">
        <v>2</v>
      </c>
      <c r="S204" s="15">
        <f t="shared" si="3"/>
        <v>45931</v>
      </c>
    </row>
    <row r="205" spans="1:19">
      <c r="A205" t="s">
        <v>281</v>
      </c>
      <c r="B205" s="2">
        <v>45948</v>
      </c>
      <c r="C205" t="s">
        <v>40</v>
      </c>
      <c r="D205" t="s">
        <v>115</v>
      </c>
      <c r="E205" t="s">
        <v>70</v>
      </c>
      <c r="F205" t="s">
        <v>22</v>
      </c>
      <c r="G205" t="s">
        <v>23</v>
      </c>
      <c r="H205" t="s">
        <v>24</v>
      </c>
      <c r="I205">
        <v>1</v>
      </c>
      <c r="J205">
        <v>27330</v>
      </c>
      <c r="K205">
        <v>0.05</v>
      </c>
      <c r="L205" t="s">
        <v>34</v>
      </c>
      <c r="M205" t="s">
        <v>26</v>
      </c>
      <c r="N205" t="s">
        <v>27</v>
      </c>
      <c r="O205">
        <v>27330</v>
      </c>
      <c r="P205">
        <v>1366.5</v>
      </c>
      <c r="Q205">
        <v>25963.5</v>
      </c>
      <c r="R205">
        <v>3</v>
      </c>
      <c r="S205" s="15">
        <f t="shared" si="3"/>
        <v>45931</v>
      </c>
    </row>
    <row r="206" spans="1:19">
      <c r="A206" t="s">
        <v>282</v>
      </c>
      <c r="B206" s="2">
        <v>45948</v>
      </c>
      <c r="C206" t="s">
        <v>40</v>
      </c>
      <c r="D206" t="s">
        <v>115</v>
      </c>
      <c r="E206" t="s">
        <v>21</v>
      </c>
      <c r="F206" t="s">
        <v>22</v>
      </c>
      <c r="G206" t="s">
        <v>101</v>
      </c>
      <c r="H206" t="s">
        <v>33</v>
      </c>
      <c r="I206">
        <v>4</v>
      </c>
      <c r="J206">
        <v>1700</v>
      </c>
      <c r="K206">
        <v>0.03</v>
      </c>
      <c r="L206" t="s">
        <v>54</v>
      </c>
      <c r="M206" t="s">
        <v>71</v>
      </c>
      <c r="N206" t="s">
        <v>27</v>
      </c>
      <c r="O206">
        <v>6800</v>
      </c>
      <c r="P206">
        <v>204</v>
      </c>
      <c r="Q206">
        <v>6596</v>
      </c>
      <c r="R206">
        <v>2</v>
      </c>
      <c r="S206" s="15">
        <f t="shared" si="3"/>
        <v>45931</v>
      </c>
    </row>
    <row r="207" spans="1:19">
      <c r="A207" t="s">
        <v>283</v>
      </c>
      <c r="B207" s="2">
        <v>45948</v>
      </c>
      <c r="C207" t="s">
        <v>29</v>
      </c>
      <c r="D207" t="s">
        <v>85</v>
      </c>
      <c r="E207" t="s">
        <v>42</v>
      </c>
      <c r="F207" t="s">
        <v>22</v>
      </c>
      <c r="G207" t="s">
        <v>37</v>
      </c>
      <c r="H207" t="s">
        <v>24</v>
      </c>
      <c r="I207">
        <v>1</v>
      </c>
      <c r="J207">
        <v>60320</v>
      </c>
      <c r="K207">
        <v>0</v>
      </c>
      <c r="L207" t="s">
        <v>64</v>
      </c>
      <c r="M207" t="s">
        <v>71</v>
      </c>
      <c r="N207" t="s">
        <v>27</v>
      </c>
      <c r="O207">
        <v>60320</v>
      </c>
      <c r="P207">
        <v>0</v>
      </c>
      <c r="Q207">
        <v>60320</v>
      </c>
      <c r="R207">
        <v>3</v>
      </c>
      <c r="S207" s="15">
        <f t="shared" si="3"/>
        <v>45931</v>
      </c>
    </row>
    <row r="208" spans="1:19">
      <c r="A208" t="s">
        <v>284</v>
      </c>
      <c r="B208" s="2">
        <v>45949</v>
      </c>
      <c r="C208" t="s">
        <v>40</v>
      </c>
      <c r="D208" t="s">
        <v>47</v>
      </c>
      <c r="E208" t="s">
        <v>70</v>
      </c>
      <c r="F208" t="s">
        <v>31</v>
      </c>
      <c r="G208" t="s">
        <v>23</v>
      </c>
      <c r="H208" t="s">
        <v>24</v>
      </c>
      <c r="I208">
        <v>4</v>
      </c>
      <c r="J208">
        <v>28600</v>
      </c>
      <c r="K208">
        <v>0</v>
      </c>
      <c r="L208" t="s">
        <v>64</v>
      </c>
      <c r="M208" t="s">
        <v>26</v>
      </c>
      <c r="N208" t="s">
        <v>27</v>
      </c>
      <c r="O208">
        <v>114400</v>
      </c>
      <c r="P208">
        <v>0</v>
      </c>
      <c r="Q208">
        <v>114400</v>
      </c>
      <c r="R208">
        <v>2</v>
      </c>
      <c r="S208" s="15">
        <f t="shared" si="3"/>
        <v>45931</v>
      </c>
    </row>
    <row r="209" spans="1:19">
      <c r="A209" t="s">
        <v>285</v>
      </c>
      <c r="B209" s="2">
        <v>45949</v>
      </c>
      <c r="C209" t="s">
        <v>82</v>
      </c>
      <c r="D209" t="s">
        <v>178</v>
      </c>
      <c r="E209" t="s">
        <v>42</v>
      </c>
      <c r="F209" t="s">
        <v>22</v>
      </c>
      <c r="G209" t="s">
        <v>92</v>
      </c>
      <c r="H209" t="s">
        <v>24</v>
      </c>
      <c r="I209">
        <v>4</v>
      </c>
      <c r="J209">
        <v>16950</v>
      </c>
      <c r="K209">
        <v>0.1</v>
      </c>
      <c r="L209" t="s">
        <v>64</v>
      </c>
      <c r="M209" t="s">
        <v>38</v>
      </c>
      <c r="N209" t="s">
        <v>27</v>
      </c>
      <c r="O209">
        <v>67800</v>
      </c>
      <c r="P209">
        <v>6780</v>
      </c>
      <c r="Q209">
        <v>61020</v>
      </c>
      <c r="R209">
        <v>3</v>
      </c>
      <c r="S209" s="15">
        <f t="shared" si="3"/>
        <v>45931</v>
      </c>
    </row>
    <row r="210" spans="1:19">
      <c r="A210" t="s">
        <v>286</v>
      </c>
      <c r="B210" s="2">
        <v>45950</v>
      </c>
      <c r="C210" t="s">
        <v>19</v>
      </c>
      <c r="D210" t="s">
        <v>103</v>
      </c>
      <c r="E210" t="s">
        <v>42</v>
      </c>
      <c r="F210" t="s">
        <v>22</v>
      </c>
      <c r="G210" t="s">
        <v>58</v>
      </c>
      <c r="H210" t="s">
        <v>59</v>
      </c>
      <c r="I210">
        <v>1</v>
      </c>
      <c r="J210">
        <v>7650</v>
      </c>
      <c r="K210">
        <v>0.03</v>
      </c>
      <c r="L210" t="s">
        <v>34</v>
      </c>
      <c r="M210" t="s">
        <v>44</v>
      </c>
      <c r="N210" t="s">
        <v>27</v>
      </c>
      <c r="O210">
        <v>7650</v>
      </c>
      <c r="P210">
        <v>229.5</v>
      </c>
      <c r="Q210">
        <v>7420.5</v>
      </c>
      <c r="R210">
        <v>1</v>
      </c>
      <c r="S210" s="15">
        <f t="shared" si="3"/>
        <v>45931</v>
      </c>
    </row>
    <row r="211" spans="1:19">
      <c r="A211" t="s">
        <v>287</v>
      </c>
      <c r="B211" s="2">
        <v>45950</v>
      </c>
      <c r="C211" t="s">
        <v>19</v>
      </c>
      <c r="D211" t="s">
        <v>57</v>
      </c>
      <c r="E211" t="s">
        <v>42</v>
      </c>
      <c r="F211" t="s">
        <v>31</v>
      </c>
      <c r="G211" t="s">
        <v>37</v>
      </c>
      <c r="H211" t="s">
        <v>24</v>
      </c>
      <c r="I211">
        <v>1</v>
      </c>
      <c r="J211">
        <v>61130</v>
      </c>
      <c r="K211">
        <v>0.05</v>
      </c>
      <c r="L211" t="s">
        <v>64</v>
      </c>
      <c r="M211" t="s">
        <v>44</v>
      </c>
      <c r="N211" t="s">
        <v>27</v>
      </c>
      <c r="O211">
        <v>61130</v>
      </c>
      <c r="P211">
        <v>3056.5</v>
      </c>
      <c r="Q211">
        <v>58073.5</v>
      </c>
      <c r="R211">
        <v>3</v>
      </c>
      <c r="S211" s="15">
        <f t="shared" si="3"/>
        <v>45931</v>
      </c>
    </row>
    <row r="212" spans="1:19">
      <c r="A212" t="s">
        <v>288</v>
      </c>
      <c r="B212" s="2">
        <v>45950</v>
      </c>
      <c r="C212" t="s">
        <v>82</v>
      </c>
      <c r="D212" t="s">
        <v>122</v>
      </c>
      <c r="E212" t="s">
        <v>21</v>
      </c>
      <c r="F212" t="s">
        <v>53</v>
      </c>
      <c r="G212" t="s">
        <v>58</v>
      </c>
      <c r="H212" t="s">
        <v>59</v>
      </c>
      <c r="I212">
        <v>4</v>
      </c>
      <c r="J212">
        <v>7530</v>
      </c>
      <c r="K212">
        <v>0.03</v>
      </c>
      <c r="L212" t="s">
        <v>54</v>
      </c>
      <c r="M212" t="s">
        <v>55</v>
      </c>
      <c r="N212" t="s">
        <v>27</v>
      </c>
      <c r="O212">
        <v>30120</v>
      </c>
      <c r="P212">
        <v>903.6</v>
      </c>
      <c r="Q212">
        <v>29216.400000000001</v>
      </c>
      <c r="R212">
        <v>4</v>
      </c>
      <c r="S212" s="15">
        <f t="shared" si="3"/>
        <v>45931</v>
      </c>
    </row>
    <row r="213" spans="1:19">
      <c r="A213" t="s">
        <v>289</v>
      </c>
      <c r="B213" s="2">
        <v>45950</v>
      </c>
      <c r="C213" t="s">
        <v>40</v>
      </c>
      <c r="D213" t="s">
        <v>47</v>
      </c>
      <c r="E213" t="s">
        <v>70</v>
      </c>
      <c r="F213" t="s">
        <v>22</v>
      </c>
      <c r="G213" t="s">
        <v>32</v>
      </c>
      <c r="H213" t="s">
        <v>33</v>
      </c>
      <c r="I213">
        <v>3</v>
      </c>
      <c r="J213">
        <v>2490</v>
      </c>
      <c r="K213">
        <v>0.03</v>
      </c>
      <c r="L213" t="s">
        <v>68</v>
      </c>
      <c r="M213" t="s">
        <v>50</v>
      </c>
      <c r="N213" t="s">
        <v>27</v>
      </c>
      <c r="O213">
        <v>7470</v>
      </c>
      <c r="P213">
        <v>224.1</v>
      </c>
      <c r="Q213">
        <v>7245.9</v>
      </c>
      <c r="R213">
        <v>4</v>
      </c>
      <c r="S213" s="15">
        <f t="shared" si="3"/>
        <v>45931</v>
      </c>
    </row>
    <row r="214" spans="1:19">
      <c r="A214" t="s">
        <v>290</v>
      </c>
      <c r="B214" s="2">
        <v>45952</v>
      </c>
      <c r="C214" t="s">
        <v>29</v>
      </c>
      <c r="D214" t="s">
        <v>30</v>
      </c>
      <c r="E214" t="s">
        <v>70</v>
      </c>
      <c r="F214" t="s">
        <v>22</v>
      </c>
      <c r="G214" t="s">
        <v>73</v>
      </c>
      <c r="H214" t="s">
        <v>74</v>
      </c>
      <c r="I214">
        <v>3</v>
      </c>
      <c r="J214">
        <v>11430</v>
      </c>
      <c r="K214">
        <v>0.05</v>
      </c>
      <c r="L214" t="s">
        <v>68</v>
      </c>
      <c r="M214" t="s">
        <v>35</v>
      </c>
      <c r="N214" t="s">
        <v>27</v>
      </c>
      <c r="O214">
        <v>34290</v>
      </c>
      <c r="P214">
        <v>1714.5</v>
      </c>
      <c r="Q214">
        <v>32575.5</v>
      </c>
      <c r="R214">
        <v>3</v>
      </c>
      <c r="S214" s="15">
        <f t="shared" si="3"/>
        <v>45931</v>
      </c>
    </row>
    <row r="215" spans="1:19">
      <c r="A215" t="s">
        <v>291</v>
      </c>
      <c r="B215" s="2">
        <v>45952</v>
      </c>
      <c r="C215" t="s">
        <v>29</v>
      </c>
      <c r="D215" t="s">
        <v>78</v>
      </c>
      <c r="E215" t="s">
        <v>42</v>
      </c>
      <c r="F215" t="s">
        <v>22</v>
      </c>
      <c r="G215" t="s">
        <v>43</v>
      </c>
      <c r="H215" t="s">
        <v>33</v>
      </c>
      <c r="I215">
        <v>1</v>
      </c>
      <c r="J215">
        <v>1000</v>
      </c>
      <c r="K215">
        <v>0.05</v>
      </c>
      <c r="L215" t="s">
        <v>25</v>
      </c>
      <c r="M215" t="s">
        <v>50</v>
      </c>
      <c r="N215" t="s">
        <v>27</v>
      </c>
      <c r="O215">
        <v>1000</v>
      </c>
      <c r="P215">
        <v>50</v>
      </c>
      <c r="Q215">
        <v>950</v>
      </c>
      <c r="R215">
        <v>2</v>
      </c>
      <c r="S215" s="15">
        <f t="shared" si="3"/>
        <v>45931</v>
      </c>
    </row>
    <row r="216" spans="1:19">
      <c r="A216" t="s">
        <v>292</v>
      </c>
      <c r="B216" s="2">
        <v>45952</v>
      </c>
      <c r="C216" t="s">
        <v>19</v>
      </c>
      <c r="D216" t="s">
        <v>740</v>
      </c>
      <c r="E216" t="s">
        <v>42</v>
      </c>
      <c r="F216" t="s">
        <v>53</v>
      </c>
      <c r="G216" t="s">
        <v>37</v>
      </c>
      <c r="H216" t="s">
        <v>24</v>
      </c>
      <c r="I216">
        <v>1</v>
      </c>
      <c r="J216">
        <v>59680</v>
      </c>
      <c r="K216">
        <v>0.1</v>
      </c>
      <c r="L216" t="s">
        <v>68</v>
      </c>
      <c r="M216" t="s">
        <v>35</v>
      </c>
      <c r="N216" t="s">
        <v>27</v>
      </c>
      <c r="O216">
        <v>59680</v>
      </c>
      <c r="P216">
        <v>5968</v>
      </c>
      <c r="Q216">
        <v>53712</v>
      </c>
      <c r="R216">
        <v>4</v>
      </c>
      <c r="S216" s="15">
        <f t="shared" si="3"/>
        <v>45931</v>
      </c>
    </row>
    <row r="217" spans="1:19">
      <c r="A217" t="s">
        <v>293</v>
      </c>
      <c r="B217" s="2">
        <v>45952</v>
      </c>
      <c r="C217" t="s">
        <v>29</v>
      </c>
      <c r="D217" t="s">
        <v>78</v>
      </c>
      <c r="E217" t="s">
        <v>21</v>
      </c>
      <c r="F217" t="s">
        <v>22</v>
      </c>
      <c r="G217" t="s">
        <v>23</v>
      </c>
      <c r="H217" t="s">
        <v>24</v>
      </c>
      <c r="I217">
        <v>3</v>
      </c>
      <c r="J217">
        <v>27440</v>
      </c>
      <c r="K217">
        <v>0.03</v>
      </c>
      <c r="L217" t="s">
        <v>64</v>
      </c>
      <c r="M217" t="s">
        <v>26</v>
      </c>
      <c r="N217" t="s">
        <v>27</v>
      </c>
      <c r="O217">
        <v>82320</v>
      </c>
      <c r="P217">
        <v>2469.6</v>
      </c>
      <c r="Q217">
        <v>79850.399999999994</v>
      </c>
      <c r="R217">
        <v>4</v>
      </c>
      <c r="S217" s="15">
        <f t="shared" si="3"/>
        <v>45931</v>
      </c>
    </row>
    <row r="218" spans="1:19">
      <c r="A218" t="s">
        <v>294</v>
      </c>
      <c r="B218" s="2">
        <v>45953</v>
      </c>
      <c r="C218" t="s">
        <v>29</v>
      </c>
      <c r="D218" t="s">
        <v>30</v>
      </c>
      <c r="E218" t="s">
        <v>21</v>
      </c>
      <c r="F218" t="s">
        <v>22</v>
      </c>
      <c r="G218" t="s">
        <v>73</v>
      </c>
      <c r="H218" t="s">
        <v>74</v>
      </c>
      <c r="I218">
        <v>1</v>
      </c>
      <c r="J218">
        <v>11550</v>
      </c>
      <c r="K218">
        <v>0.05</v>
      </c>
      <c r="L218" t="s">
        <v>54</v>
      </c>
      <c r="M218" t="s">
        <v>44</v>
      </c>
      <c r="N218" t="s">
        <v>27</v>
      </c>
      <c r="O218">
        <v>11550</v>
      </c>
      <c r="P218">
        <v>577.5</v>
      </c>
      <c r="Q218">
        <v>10972.5</v>
      </c>
      <c r="R218">
        <v>3</v>
      </c>
      <c r="S218" s="15">
        <f t="shared" si="3"/>
        <v>45931</v>
      </c>
    </row>
    <row r="219" spans="1:19">
      <c r="A219" t="s">
        <v>295</v>
      </c>
      <c r="B219" s="2">
        <v>45953</v>
      </c>
      <c r="C219" t="s">
        <v>29</v>
      </c>
      <c r="D219" t="s">
        <v>30</v>
      </c>
      <c r="E219" t="s">
        <v>42</v>
      </c>
      <c r="F219" t="s">
        <v>22</v>
      </c>
      <c r="G219" t="s">
        <v>23</v>
      </c>
      <c r="H219" t="s">
        <v>24</v>
      </c>
      <c r="I219">
        <v>4</v>
      </c>
      <c r="J219">
        <v>27220</v>
      </c>
      <c r="K219">
        <v>0.05</v>
      </c>
      <c r="L219" t="s">
        <v>64</v>
      </c>
      <c r="M219" t="s">
        <v>66</v>
      </c>
      <c r="N219" t="s">
        <v>27</v>
      </c>
      <c r="O219">
        <v>108880</v>
      </c>
      <c r="P219">
        <v>5444</v>
      </c>
      <c r="Q219">
        <v>103436</v>
      </c>
      <c r="R219">
        <v>5</v>
      </c>
      <c r="S219" s="15">
        <f t="shared" si="3"/>
        <v>45931</v>
      </c>
    </row>
    <row r="220" spans="1:19">
      <c r="A220" t="s">
        <v>296</v>
      </c>
      <c r="B220" s="2">
        <v>45956</v>
      </c>
      <c r="C220" t="s">
        <v>40</v>
      </c>
      <c r="D220" t="s">
        <v>47</v>
      </c>
      <c r="E220" t="s">
        <v>21</v>
      </c>
      <c r="F220" t="s">
        <v>22</v>
      </c>
      <c r="G220" t="s">
        <v>48</v>
      </c>
      <c r="H220" t="s">
        <v>49</v>
      </c>
      <c r="I220">
        <v>1</v>
      </c>
      <c r="J220">
        <v>13350</v>
      </c>
      <c r="K220">
        <v>0.05</v>
      </c>
      <c r="L220" t="s">
        <v>64</v>
      </c>
      <c r="M220" t="s">
        <v>35</v>
      </c>
      <c r="N220" t="s">
        <v>27</v>
      </c>
      <c r="O220">
        <v>13350</v>
      </c>
      <c r="P220">
        <v>667.5</v>
      </c>
      <c r="Q220">
        <v>12682.5</v>
      </c>
      <c r="R220">
        <v>6</v>
      </c>
      <c r="S220" s="15">
        <f t="shared" si="3"/>
        <v>45931</v>
      </c>
    </row>
    <row r="221" spans="1:19">
      <c r="A221" t="s">
        <v>297</v>
      </c>
      <c r="B221" s="2">
        <v>45956</v>
      </c>
      <c r="C221" t="s">
        <v>40</v>
      </c>
      <c r="D221" t="s">
        <v>115</v>
      </c>
      <c r="E221" t="s">
        <v>42</v>
      </c>
      <c r="F221" t="s">
        <v>22</v>
      </c>
      <c r="G221" t="s">
        <v>105</v>
      </c>
      <c r="H221" t="s">
        <v>24</v>
      </c>
      <c r="I221">
        <v>4</v>
      </c>
      <c r="J221">
        <v>3170</v>
      </c>
      <c r="K221">
        <v>0</v>
      </c>
      <c r="L221" t="s">
        <v>64</v>
      </c>
      <c r="M221" t="s">
        <v>71</v>
      </c>
      <c r="N221" t="s">
        <v>27</v>
      </c>
      <c r="O221">
        <v>12680</v>
      </c>
      <c r="P221">
        <v>0</v>
      </c>
      <c r="Q221">
        <v>12680</v>
      </c>
      <c r="R221">
        <v>4</v>
      </c>
      <c r="S221" s="15">
        <f t="shared" si="3"/>
        <v>45931</v>
      </c>
    </row>
    <row r="222" spans="1:19">
      <c r="A222" t="s">
        <v>298</v>
      </c>
      <c r="B222" s="2">
        <v>45956</v>
      </c>
      <c r="C222" t="s">
        <v>40</v>
      </c>
      <c r="D222" t="s">
        <v>89</v>
      </c>
      <c r="E222" t="s">
        <v>42</v>
      </c>
      <c r="F222" t="s">
        <v>22</v>
      </c>
      <c r="G222" t="s">
        <v>32</v>
      </c>
      <c r="H222" t="s">
        <v>33</v>
      </c>
      <c r="I222">
        <v>2</v>
      </c>
      <c r="J222">
        <v>2290</v>
      </c>
      <c r="K222">
        <v>0.03</v>
      </c>
      <c r="L222" t="s">
        <v>64</v>
      </c>
      <c r="M222" t="s">
        <v>35</v>
      </c>
      <c r="N222" t="s">
        <v>27</v>
      </c>
      <c r="O222">
        <v>4580</v>
      </c>
      <c r="P222">
        <v>137.4</v>
      </c>
      <c r="Q222">
        <v>4442.6000000000004</v>
      </c>
      <c r="R222">
        <v>2</v>
      </c>
      <c r="S222" s="15">
        <f t="shared" si="3"/>
        <v>45931</v>
      </c>
    </row>
    <row r="223" spans="1:19">
      <c r="A223" t="s">
        <v>299</v>
      </c>
      <c r="B223" s="2">
        <v>45957</v>
      </c>
      <c r="C223" t="s">
        <v>40</v>
      </c>
      <c r="D223" t="s">
        <v>41</v>
      </c>
      <c r="E223" t="s">
        <v>70</v>
      </c>
      <c r="F223" t="s">
        <v>22</v>
      </c>
      <c r="G223" t="s">
        <v>105</v>
      </c>
      <c r="H223" t="s">
        <v>24</v>
      </c>
      <c r="I223">
        <v>2</v>
      </c>
      <c r="J223">
        <v>3120</v>
      </c>
      <c r="K223">
        <v>0.03</v>
      </c>
      <c r="L223" t="s">
        <v>68</v>
      </c>
      <c r="M223" t="s">
        <v>55</v>
      </c>
      <c r="N223" t="s">
        <v>27</v>
      </c>
      <c r="O223">
        <v>6240</v>
      </c>
      <c r="P223">
        <v>187.2</v>
      </c>
      <c r="Q223">
        <v>6052.8</v>
      </c>
      <c r="R223">
        <v>7</v>
      </c>
      <c r="S223" s="15">
        <f t="shared" si="3"/>
        <v>45931</v>
      </c>
    </row>
    <row r="224" spans="1:19">
      <c r="A224" t="s">
        <v>300</v>
      </c>
      <c r="B224" s="2">
        <v>45958</v>
      </c>
      <c r="C224" t="s">
        <v>40</v>
      </c>
      <c r="D224" t="s">
        <v>47</v>
      </c>
      <c r="E224" t="s">
        <v>42</v>
      </c>
      <c r="F224" t="s">
        <v>53</v>
      </c>
      <c r="G224" t="s">
        <v>92</v>
      </c>
      <c r="H224" t="s">
        <v>24</v>
      </c>
      <c r="I224">
        <v>1</v>
      </c>
      <c r="J224">
        <v>15940</v>
      </c>
      <c r="K224">
        <v>0.15</v>
      </c>
      <c r="L224" t="s">
        <v>64</v>
      </c>
      <c r="M224" t="s">
        <v>55</v>
      </c>
      <c r="N224" t="s">
        <v>27</v>
      </c>
      <c r="O224">
        <v>15940</v>
      </c>
      <c r="P224">
        <v>2391</v>
      </c>
      <c r="Q224">
        <v>13549</v>
      </c>
      <c r="R224">
        <v>3</v>
      </c>
      <c r="S224" s="15">
        <f t="shared" si="3"/>
        <v>45931</v>
      </c>
    </row>
    <row r="225" spans="1:19">
      <c r="A225" t="s">
        <v>301</v>
      </c>
      <c r="B225" s="2">
        <v>45959</v>
      </c>
      <c r="C225" t="s">
        <v>82</v>
      </c>
      <c r="D225" t="s">
        <v>83</v>
      </c>
      <c r="E225" t="s">
        <v>70</v>
      </c>
      <c r="F225" t="s">
        <v>22</v>
      </c>
      <c r="G225" t="s">
        <v>62</v>
      </c>
      <c r="H225" t="s">
        <v>33</v>
      </c>
      <c r="I225">
        <v>5</v>
      </c>
      <c r="J225">
        <v>1890</v>
      </c>
      <c r="K225">
        <v>0.03</v>
      </c>
      <c r="L225" t="s">
        <v>64</v>
      </c>
      <c r="M225" t="s">
        <v>38</v>
      </c>
      <c r="N225" t="s">
        <v>27</v>
      </c>
      <c r="O225">
        <v>9450</v>
      </c>
      <c r="P225">
        <v>283.5</v>
      </c>
      <c r="Q225">
        <v>9166.5</v>
      </c>
      <c r="R225">
        <v>3</v>
      </c>
      <c r="S225" s="15">
        <f t="shared" si="3"/>
        <v>45931</v>
      </c>
    </row>
    <row r="226" spans="1:19">
      <c r="A226" t="s">
        <v>302</v>
      </c>
      <c r="B226" s="2">
        <v>45959</v>
      </c>
      <c r="C226" t="s">
        <v>19</v>
      </c>
      <c r="D226" t="s">
        <v>52</v>
      </c>
      <c r="E226" t="s">
        <v>42</v>
      </c>
      <c r="F226" t="s">
        <v>22</v>
      </c>
      <c r="G226" t="s">
        <v>58</v>
      </c>
      <c r="H226" t="s">
        <v>59</v>
      </c>
      <c r="I226">
        <v>1</v>
      </c>
      <c r="J226">
        <v>7690</v>
      </c>
      <c r="K226">
        <v>0.08</v>
      </c>
      <c r="L226" t="s">
        <v>68</v>
      </c>
      <c r="M226" t="s">
        <v>50</v>
      </c>
      <c r="N226" t="s">
        <v>27</v>
      </c>
      <c r="O226">
        <v>7690</v>
      </c>
      <c r="P226">
        <v>615.20000000000005</v>
      </c>
      <c r="Q226">
        <v>7074.8</v>
      </c>
      <c r="R226">
        <v>4</v>
      </c>
      <c r="S226" s="15">
        <f t="shared" si="3"/>
        <v>45931</v>
      </c>
    </row>
    <row r="227" spans="1:19">
      <c r="A227" t="s">
        <v>303</v>
      </c>
      <c r="B227" s="2">
        <v>45960</v>
      </c>
      <c r="C227" t="s">
        <v>19</v>
      </c>
      <c r="D227" t="s">
        <v>20</v>
      </c>
      <c r="E227" t="s">
        <v>42</v>
      </c>
      <c r="F227" t="s">
        <v>31</v>
      </c>
      <c r="G227" t="s">
        <v>43</v>
      </c>
      <c r="H227" t="s">
        <v>33</v>
      </c>
      <c r="I227">
        <v>1</v>
      </c>
      <c r="J227">
        <v>940</v>
      </c>
      <c r="K227">
        <v>0</v>
      </c>
      <c r="L227" t="s">
        <v>64</v>
      </c>
      <c r="M227" t="s">
        <v>50</v>
      </c>
      <c r="N227" t="s">
        <v>27</v>
      </c>
      <c r="O227">
        <v>940</v>
      </c>
      <c r="P227">
        <v>0</v>
      </c>
      <c r="Q227">
        <v>940</v>
      </c>
      <c r="R227">
        <v>2</v>
      </c>
      <c r="S227" s="15">
        <f t="shared" si="3"/>
        <v>45931</v>
      </c>
    </row>
    <row r="228" spans="1:19">
      <c r="A228" t="s">
        <v>304</v>
      </c>
      <c r="B228" s="2">
        <v>45960</v>
      </c>
      <c r="C228" t="s">
        <v>40</v>
      </c>
      <c r="D228" t="s">
        <v>47</v>
      </c>
      <c r="E228" t="s">
        <v>70</v>
      </c>
      <c r="F228" t="s">
        <v>31</v>
      </c>
      <c r="G228" t="s">
        <v>73</v>
      </c>
      <c r="H228" t="s">
        <v>74</v>
      </c>
      <c r="I228">
        <v>2</v>
      </c>
      <c r="J228">
        <v>12030</v>
      </c>
      <c r="K228">
        <v>0.05</v>
      </c>
      <c r="L228" t="s">
        <v>54</v>
      </c>
      <c r="M228" t="s">
        <v>55</v>
      </c>
      <c r="N228" t="s">
        <v>27</v>
      </c>
      <c r="O228">
        <v>24060</v>
      </c>
      <c r="P228">
        <v>1203</v>
      </c>
      <c r="Q228">
        <v>22857</v>
      </c>
      <c r="R228">
        <v>4</v>
      </c>
      <c r="S228" s="15">
        <f t="shared" si="3"/>
        <v>45931</v>
      </c>
    </row>
    <row r="229" spans="1:19">
      <c r="A229" t="s">
        <v>305</v>
      </c>
      <c r="B229" s="2">
        <v>45961</v>
      </c>
      <c r="C229" t="s">
        <v>19</v>
      </c>
      <c r="D229" t="s">
        <v>57</v>
      </c>
      <c r="E229" t="s">
        <v>21</v>
      </c>
      <c r="F229" t="s">
        <v>22</v>
      </c>
      <c r="G229" t="s">
        <v>73</v>
      </c>
      <c r="H229" t="s">
        <v>74</v>
      </c>
      <c r="I229">
        <v>4</v>
      </c>
      <c r="J229">
        <v>12200</v>
      </c>
      <c r="K229">
        <v>0.03</v>
      </c>
      <c r="L229" t="s">
        <v>64</v>
      </c>
      <c r="M229" t="s">
        <v>66</v>
      </c>
      <c r="N229" t="s">
        <v>27</v>
      </c>
      <c r="O229">
        <v>48800</v>
      </c>
      <c r="P229">
        <v>1464</v>
      </c>
      <c r="Q229">
        <v>47336</v>
      </c>
      <c r="R229">
        <v>3</v>
      </c>
      <c r="S229" s="15">
        <f t="shared" si="3"/>
        <v>45931</v>
      </c>
    </row>
    <row r="230" spans="1:19">
      <c r="A230" t="s">
        <v>306</v>
      </c>
      <c r="B230" s="2">
        <v>45961</v>
      </c>
      <c r="C230" t="s">
        <v>40</v>
      </c>
      <c r="D230" t="s">
        <v>115</v>
      </c>
      <c r="E230" t="s">
        <v>21</v>
      </c>
      <c r="F230" t="s">
        <v>31</v>
      </c>
      <c r="G230" t="s">
        <v>105</v>
      </c>
      <c r="H230" t="s">
        <v>24</v>
      </c>
      <c r="I230">
        <v>3</v>
      </c>
      <c r="J230">
        <v>3250</v>
      </c>
      <c r="K230">
        <v>0.03</v>
      </c>
      <c r="L230" t="s">
        <v>64</v>
      </c>
      <c r="M230" t="s">
        <v>66</v>
      </c>
      <c r="N230" t="s">
        <v>27</v>
      </c>
      <c r="O230">
        <v>9750</v>
      </c>
      <c r="P230">
        <v>292.5</v>
      </c>
      <c r="Q230">
        <v>9457.5</v>
      </c>
      <c r="R230">
        <v>6</v>
      </c>
      <c r="S230" s="15">
        <f t="shared" si="3"/>
        <v>45931</v>
      </c>
    </row>
    <row r="231" spans="1:19">
      <c r="A231" t="s">
        <v>307</v>
      </c>
      <c r="B231" s="2">
        <v>45961</v>
      </c>
      <c r="C231" t="s">
        <v>40</v>
      </c>
      <c r="D231" t="s">
        <v>89</v>
      </c>
      <c r="E231" t="s">
        <v>21</v>
      </c>
      <c r="F231" t="s">
        <v>22</v>
      </c>
      <c r="G231" t="s">
        <v>23</v>
      </c>
      <c r="H231" t="s">
        <v>24</v>
      </c>
      <c r="I231">
        <v>3</v>
      </c>
      <c r="J231">
        <v>28930</v>
      </c>
      <c r="K231">
        <v>0</v>
      </c>
      <c r="L231" t="s">
        <v>54</v>
      </c>
      <c r="M231" t="s">
        <v>38</v>
      </c>
      <c r="N231" t="s">
        <v>27</v>
      </c>
      <c r="O231">
        <v>86790</v>
      </c>
      <c r="P231">
        <v>0</v>
      </c>
      <c r="Q231">
        <v>86790</v>
      </c>
      <c r="R231">
        <v>2</v>
      </c>
      <c r="S231" s="15">
        <f t="shared" si="3"/>
        <v>45931</v>
      </c>
    </row>
    <row r="232" spans="1:19">
      <c r="A232" t="s">
        <v>308</v>
      </c>
      <c r="B232" s="2">
        <v>45962</v>
      </c>
      <c r="C232" t="s">
        <v>40</v>
      </c>
      <c r="D232" t="s">
        <v>41</v>
      </c>
      <c r="E232" t="s">
        <v>70</v>
      </c>
      <c r="F232" t="s">
        <v>22</v>
      </c>
      <c r="G232" t="s">
        <v>105</v>
      </c>
      <c r="H232" t="s">
        <v>24</v>
      </c>
      <c r="I232">
        <v>2</v>
      </c>
      <c r="J232">
        <v>3280</v>
      </c>
      <c r="K232">
        <v>0.05</v>
      </c>
      <c r="L232" t="s">
        <v>64</v>
      </c>
      <c r="M232" t="s">
        <v>26</v>
      </c>
      <c r="N232" t="s">
        <v>27</v>
      </c>
      <c r="O232">
        <v>6560</v>
      </c>
      <c r="P232">
        <v>328</v>
      </c>
      <c r="Q232">
        <v>6232</v>
      </c>
      <c r="R232">
        <v>2</v>
      </c>
      <c r="S232" s="15">
        <f t="shared" si="3"/>
        <v>45962</v>
      </c>
    </row>
    <row r="233" spans="1:19">
      <c r="A233" t="s">
        <v>309</v>
      </c>
      <c r="B233" s="2">
        <v>45963</v>
      </c>
      <c r="C233" t="s">
        <v>29</v>
      </c>
      <c r="D233" t="s">
        <v>85</v>
      </c>
      <c r="E233" t="s">
        <v>21</v>
      </c>
      <c r="F233" t="s">
        <v>22</v>
      </c>
      <c r="G233" t="s">
        <v>73</v>
      </c>
      <c r="H233" t="s">
        <v>74</v>
      </c>
      <c r="I233">
        <v>2</v>
      </c>
      <c r="J233">
        <v>10940</v>
      </c>
      <c r="K233">
        <v>0.15</v>
      </c>
      <c r="L233" t="s">
        <v>54</v>
      </c>
      <c r="M233" t="s">
        <v>55</v>
      </c>
      <c r="N233" t="s">
        <v>27</v>
      </c>
      <c r="O233">
        <v>21880</v>
      </c>
      <c r="P233">
        <v>3282</v>
      </c>
      <c r="Q233">
        <v>18598</v>
      </c>
      <c r="R233">
        <v>4</v>
      </c>
      <c r="S233" s="15">
        <f t="shared" si="3"/>
        <v>45962</v>
      </c>
    </row>
    <row r="234" spans="1:19">
      <c r="A234" t="s">
        <v>310</v>
      </c>
      <c r="B234" s="2">
        <v>45963</v>
      </c>
      <c r="C234" t="s">
        <v>40</v>
      </c>
      <c r="D234" t="s">
        <v>41</v>
      </c>
      <c r="E234" t="s">
        <v>70</v>
      </c>
      <c r="F234" t="s">
        <v>31</v>
      </c>
      <c r="G234" t="s">
        <v>62</v>
      </c>
      <c r="H234" t="s">
        <v>33</v>
      </c>
      <c r="I234">
        <v>2</v>
      </c>
      <c r="J234">
        <v>1820</v>
      </c>
      <c r="K234">
        <v>0.05</v>
      </c>
      <c r="L234" t="s">
        <v>25</v>
      </c>
      <c r="M234" t="s">
        <v>44</v>
      </c>
      <c r="N234" t="s">
        <v>27</v>
      </c>
      <c r="O234">
        <v>3640</v>
      </c>
      <c r="P234">
        <v>182</v>
      </c>
      <c r="Q234">
        <v>3458</v>
      </c>
      <c r="R234">
        <v>5</v>
      </c>
      <c r="S234" s="15">
        <f t="shared" si="3"/>
        <v>45962</v>
      </c>
    </row>
    <row r="235" spans="1:19">
      <c r="A235" t="s">
        <v>311</v>
      </c>
      <c r="B235" s="2">
        <v>45964</v>
      </c>
      <c r="C235" t="s">
        <v>40</v>
      </c>
      <c r="D235" t="s">
        <v>47</v>
      </c>
      <c r="E235" t="s">
        <v>42</v>
      </c>
      <c r="F235" t="s">
        <v>31</v>
      </c>
      <c r="G235" t="s">
        <v>92</v>
      </c>
      <c r="H235" t="s">
        <v>24</v>
      </c>
      <c r="I235">
        <v>3</v>
      </c>
      <c r="J235">
        <v>16550</v>
      </c>
      <c r="K235">
        <v>0.05</v>
      </c>
      <c r="L235" t="s">
        <v>64</v>
      </c>
      <c r="M235" t="s">
        <v>66</v>
      </c>
      <c r="N235" t="s">
        <v>27</v>
      </c>
      <c r="O235">
        <v>49650</v>
      </c>
      <c r="P235">
        <v>2482.5</v>
      </c>
      <c r="Q235">
        <v>47167.5</v>
      </c>
      <c r="R235">
        <v>6</v>
      </c>
      <c r="S235" s="15">
        <f t="shared" si="3"/>
        <v>45962</v>
      </c>
    </row>
    <row r="236" spans="1:19">
      <c r="A236" t="s">
        <v>312</v>
      </c>
      <c r="B236" s="2">
        <v>45965</v>
      </c>
      <c r="C236" t="s">
        <v>19</v>
      </c>
      <c r="D236" t="s">
        <v>57</v>
      </c>
      <c r="E236" t="s">
        <v>70</v>
      </c>
      <c r="F236" t="s">
        <v>22</v>
      </c>
      <c r="G236" t="s">
        <v>43</v>
      </c>
      <c r="H236" t="s">
        <v>33</v>
      </c>
      <c r="I236">
        <v>1</v>
      </c>
      <c r="J236">
        <v>1000</v>
      </c>
      <c r="K236">
        <v>0.05</v>
      </c>
      <c r="L236" t="s">
        <v>54</v>
      </c>
      <c r="M236" t="s">
        <v>38</v>
      </c>
      <c r="N236" t="s">
        <v>27</v>
      </c>
      <c r="O236">
        <v>1000</v>
      </c>
      <c r="P236">
        <v>50</v>
      </c>
      <c r="Q236">
        <v>950</v>
      </c>
      <c r="R236">
        <v>3</v>
      </c>
      <c r="S236" s="15">
        <f t="shared" si="3"/>
        <v>45962</v>
      </c>
    </row>
    <row r="237" spans="1:19">
      <c r="A237" t="s">
        <v>313</v>
      </c>
      <c r="B237" s="2">
        <v>45966</v>
      </c>
      <c r="C237" t="s">
        <v>19</v>
      </c>
      <c r="D237" t="s">
        <v>20</v>
      </c>
      <c r="E237" t="s">
        <v>42</v>
      </c>
      <c r="F237" t="s">
        <v>22</v>
      </c>
      <c r="G237" t="s">
        <v>23</v>
      </c>
      <c r="H237" t="s">
        <v>24</v>
      </c>
      <c r="I237">
        <v>5</v>
      </c>
      <c r="J237">
        <v>26930</v>
      </c>
      <c r="K237">
        <v>0.08</v>
      </c>
      <c r="L237" t="s">
        <v>64</v>
      </c>
      <c r="M237" t="s">
        <v>35</v>
      </c>
      <c r="N237" t="s">
        <v>27</v>
      </c>
      <c r="O237">
        <v>134650</v>
      </c>
      <c r="P237">
        <v>10772</v>
      </c>
      <c r="Q237">
        <v>123878</v>
      </c>
      <c r="R237">
        <v>5</v>
      </c>
      <c r="S237" s="15">
        <f t="shared" si="3"/>
        <v>45962</v>
      </c>
    </row>
    <row r="238" spans="1:19">
      <c r="A238" t="s">
        <v>314</v>
      </c>
      <c r="B238" s="2">
        <v>45966</v>
      </c>
      <c r="C238" t="s">
        <v>29</v>
      </c>
      <c r="D238" t="s">
        <v>61</v>
      </c>
      <c r="E238" t="s">
        <v>42</v>
      </c>
      <c r="F238" t="s">
        <v>22</v>
      </c>
      <c r="G238" t="s">
        <v>32</v>
      </c>
      <c r="H238" t="s">
        <v>33</v>
      </c>
      <c r="I238">
        <v>1</v>
      </c>
      <c r="J238">
        <v>2370</v>
      </c>
      <c r="K238">
        <v>0</v>
      </c>
      <c r="L238" t="s">
        <v>34</v>
      </c>
      <c r="M238" t="s">
        <v>55</v>
      </c>
      <c r="N238" t="s">
        <v>27</v>
      </c>
      <c r="O238">
        <v>2370</v>
      </c>
      <c r="P238">
        <v>0</v>
      </c>
      <c r="Q238">
        <v>2370</v>
      </c>
      <c r="R238">
        <v>4</v>
      </c>
      <c r="S238" s="15">
        <f t="shared" si="3"/>
        <v>45962</v>
      </c>
    </row>
    <row r="239" spans="1:19">
      <c r="A239" t="s">
        <v>315</v>
      </c>
      <c r="B239" s="2">
        <v>45967</v>
      </c>
      <c r="C239" t="s">
        <v>29</v>
      </c>
      <c r="D239" t="s">
        <v>30</v>
      </c>
      <c r="E239" t="s">
        <v>42</v>
      </c>
      <c r="F239" t="s">
        <v>53</v>
      </c>
      <c r="G239" t="s">
        <v>73</v>
      </c>
      <c r="H239" t="s">
        <v>74</v>
      </c>
      <c r="I239">
        <v>1</v>
      </c>
      <c r="J239">
        <v>11470</v>
      </c>
      <c r="K239">
        <v>0.15</v>
      </c>
      <c r="L239" t="s">
        <v>54</v>
      </c>
      <c r="M239" t="s">
        <v>44</v>
      </c>
      <c r="N239" t="s">
        <v>27</v>
      </c>
      <c r="O239">
        <v>11470</v>
      </c>
      <c r="P239">
        <v>1720.5</v>
      </c>
      <c r="Q239">
        <v>9749.5</v>
      </c>
      <c r="R239">
        <v>3</v>
      </c>
      <c r="S239" s="15">
        <f t="shared" si="3"/>
        <v>45962</v>
      </c>
    </row>
    <row r="240" spans="1:19">
      <c r="A240" t="s">
        <v>316</v>
      </c>
      <c r="B240" s="2">
        <v>45968</v>
      </c>
      <c r="C240" t="s">
        <v>40</v>
      </c>
      <c r="D240" t="s">
        <v>89</v>
      </c>
      <c r="E240" t="s">
        <v>21</v>
      </c>
      <c r="F240" t="s">
        <v>53</v>
      </c>
      <c r="G240" t="s">
        <v>101</v>
      </c>
      <c r="H240" t="s">
        <v>33</v>
      </c>
      <c r="I240">
        <v>5</v>
      </c>
      <c r="J240">
        <v>1830</v>
      </c>
      <c r="K240">
        <v>0.03</v>
      </c>
      <c r="L240" t="s">
        <v>54</v>
      </c>
      <c r="M240" t="s">
        <v>26</v>
      </c>
      <c r="N240" t="s">
        <v>27</v>
      </c>
      <c r="O240">
        <v>9150</v>
      </c>
      <c r="P240">
        <v>274.5</v>
      </c>
      <c r="Q240">
        <v>8875.5</v>
      </c>
      <c r="R240">
        <v>6</v>
      </c>
      <c r="S240" s="15">
        <f t="shared" si="3"/>
        <v>45962</v>
      </c>
    </row>
    <row r="241" spans="1:19">
      <c r="A241" t="s">
        <v>317</v>
      </c>
      <c r="B241" s="2">
        <v>45969</v>
      </c>
      <c r="C241" t="s">
        <v>40</v>
      </c>
      <c r="D241" t="s">
        <v>41</v>
      </c>
      <c r="E241" t="s">
        <v>70</v>
      </c>
      <c r="F241" t="s">
        <v>22</v>
      </c>
      <c r="G241" t="s">
        <v>32</v>
      </c>
      <c r="H241" t="s">
        <v>33</v>
      </c>
      <c r="I241">
        <v>2</v>
      </c>
      <c r="J241">
        <v>2480</v>
      </c>
      <c r="K241">
        <v>0.08</v>
      </c>
      <c r="L241" t="s">
        <v>64</v>
      </c>
      <c r="M241" t="s">
        <v>55</v>
      </c>
      <c r="N241" t="s">
        <v>27</v>
      </c>
      <c r="O241">
        <v>4960</v>
      </c>
      <c r="P241">
        <v>396.8</v>
      </c>
      <c r="Q241">
        <v>4563.2</v>
      </c>
      <c r="R241">
        <v>2</v>
      </c>
      <c r="S241" s="15">
        <f t="shared" si="3"/>
        <v>45962</v>
      </c>
    </row>
    <row r="242" spans="1:19">
      <c r="A242" t="s">
        <v>318</v>
      </c>
      <c r="B242" s="2">
        <v>45970</v>
      </c>
      <c r="C242" t="s">
        <v>19</v>
      </c>
      <c r="D242" t="s">
        <v>103</v>
      </c>
      <c r="E242" t="s">
        <v>42</v>
      </c>
      <c r="F242" t="s">
        <v>53</v>
      </c>
      <c r="G242" t="s">
        <v>43</v>
      </c>
      <c r="H242" t="s">
        <v>33</v>
      </c>
      <c r="I242">
        <v>3</v>
      </c>
      <c r="J242">
        <v>910</v>
      </c>
      <c r="K242">
        <v>0</v>
      </c>
      <c r="L242" t="s">
        <v>64</v>
      </c>
      <c r="M242" t="s">
        <v>55</v>
      </c>
      <c r="N242" t="s">
        <v>27</v>
      </c>
      <c r="O242">
        <v>2730</v>
      </c>
      <c r="P242">
        <v>0</v>
      </c>
      <c r="Q242">
        <v>2730</v>
      </c>
      <c r="R242">
        <v>2</v>
      </c>
      <c r="S242" s="15">
        <f t="shared" si="3"/>
        <v>45962</v>
      </c>
    </row>
    <row r="243" spans="1:19">
      <c r="A243" t="s">
        <v>319</v>
      </c>
      <c r="B243" s="2">
        <v>45970</v>
      </c>
      <c r="C243" t="s">
        <v>29</v>
      </c>
      <c r="D243" t="s">
        <v>61</v>
      </c>
      <c r="E243" t="s">
        <v>42</v>
      </c>
      <c r="F243" t="s">
        <v>31</v>
      </c>
      <c r="G243" t="s">
        <v>37</v>
      </c>
      <c r="H243" t="s">
        <v>24</v>
      </c>
      <c r="I243">
        <v>3</v>
      </c>
      <c r="J243">
        <v>58970</v>
      </c>
      <c r="K243">
        <v>0.05</v>
      </c>
      <c r="L243" t="s">
        <v>54</v>
      </c>
      <c r="M243" t="s">
        <v>66</v>
      </c>
      <c r="N243" t="s">
        <v>27</v>
      </c>
      <c r="O243">
        <v>176910</v>
      </c>
      <c r="P243">
        <v>8845.5</v>
      </c>
      <c r="Q243">
        <v>168064.5</v>
      </c>
      <c r="R243">
        <v>3</v>
      </c>
      <c r="S243" s="15">
        <f t="shared" si="3"/>
        <v>45962</v>
      </c>
    </row>
    <row r="244" spans="1:19">
      <c r="A244" t="s">
        <v>320</v>
      </c>
      <c r="B244" s="2">
        <v>45970</v>
      </c>
      <c r="C244" t="s">
        <v>40</v>
      </c>
      <c r="D244" t="s">
        <v>47</v>
      </c>
      <c r="E244" t="s">
        <v>70</v>
      </c>
      <c r="F244" t="s">
        <v>22</v>
      </c>
      <c r="G244" t="s">
        <v>43</v>
      </c>
      <c r="H244" t="s">
        <v>33</v>
      </c>
      <c r="I244">
        <v>2</v>
      </c>
      <c r="J244">
        <v>910</v>
      </c>
      <c r="K244">
        <v>0</v>
      </c>
      <c r="L244" t="s">
        <v>25</v>
      </c>
      <c r="M244" t="s">
        <v>50</v>
      </c>
      <c r="N244" t="s">
        <v>27</v>
      </c>
      <c r="O244">
        <v>1820</v>
      </c>
      <c r="P244">
        <v>0</v>
      </c>
      <c r="Q244">
        <v>1820</v>
      </c>
      <c r="R244">
        <v>4</v>
      </c>
      <c r="S244" s="15">
        <f t="shared" si="3"/>
        <v>45962</v>
      </c>
    </row>
    <row r="245" spans="1:19">
      <c r="A245" t="s">
        <v>321</v>
      </c>
      <c r="B245" s="2">
        <v>45970</v>
      </c>
      <c r="C245" t="s">
        <v>29</v>
      </c>
      <c r="D245" t="s">
        <v>30</v>
      </c>
      <c r="E245" t="s">
        <v>70</v>
      </c>
      <c r="F245" t="s">
        <v>31</v>
      </c>
      <c r="G245" t="s">
        <v>37</v>
      </c>
      <c r="H245" t="s">
        <v>24</v>
      </c>
      <c r="I245">
        <v>2</v>
      </c>
      <c r="J245">
        <v>65440</v>
      </c>
      <c r="K245">
        <v>0</v>
      </c>
      <c r="L245" t="s">
        <v>25</v>
      </c>
      <c r="M245" t="s">
        <v>55</v>
      </c>
      <c r="N245" t="s">
        <v>27</v>
      </c>
      <c r="O245">
        <v>130880</v>
      </c>
      <c r="P245">
        <v>0</v>
      </c>
      <c r="Q245">
        <v>130880</v>
      </c>
      <c r="R245">
        <v>3</v>
      </c>
      <c r="S245" s="15">
        <f t="shared" si="3"/>
        <v>45962</v>
      </c>
    </row>
    <row r="246" spans="1:19">
      <c r="A246" t="s">
        <v>322</v>
      </c>
      <c r="B246" s="2">
        <v>45971</v>
      </c>
      <c r="C246" t="s">
        <v>40</v>
      </c>
      <c r="D246" t="s">
        <v>41</v>
      </c>
      <c r="E246" t="s">
        <v>70</v>
      </c>
      <c r="F246" t="s">
        <v>53</v>
      </c>
      <c r="G246" t="s">
        <v>37</v>
      </c>
      <c r="H246" t="s">
        <v>24</v>
      </c>
      <c r="I246">
        <v>5</v>
      </c>
      <c r="J246">
        <v>60420</v>
      </c>
      <c r="K246">
        <v>0.05</v>
      </c>
      <c r="L246" t="s">
        <v>64</v>
      </c>
      <c r="M246" t="s">
        <v>55</v>
      </c>
      <c r="N246" t="s">
        <v>27</v>
      </c>
      <c r="O246">
        <v>302100</v>
      </c>
      <c r="P246">
        <v>15105</v>
      </c>
      <c r="Q246">
        <v>286995</v>
      </c>
      <c r="R246">
        <v>3</v>
      </c>
      <c r="S246" s="15">
        <f t="shared" si="3"/>
        <v>45962</v>
      </c>
    </row>
    <row r="247" spans="1:19">
      <c r="A247" t="s">
        <v>323</v>
      </c>
      <c r="B247" s="2">
        <v>45971</v>
      </c>
      <c r="C247" t="s">
        <v>19</v>
      </c>
      <c r="D247" t="s">
        <v>57</v>
      </c>
      <c r="E247" t="s">
        <v>42</v>
      </c>
      <c r="F247" t="s">
        <v>22</v>
      </c>
      <c r="G247" t="s">
        <v>73</v>
      </c>
      <c r="H247" t="s">
        <v>74</v>
      </c>
      <c r="I247">
        <v>1</v>
      </c>
      <c r="J247">
        <v>11170</v>
      </c>
      <c r="K247">
        <v>0.08</v>
      </c>
      <c r="L247" t="s">
        <v>54</v>
      </c>
      <c r="M247" t="s">
        <v>71</v>
      </c>
      <c r="N247" t="s">
        <v>27</v>
      </c>
      <c r="O247">
        <v>11170</v>
      </c>
      <c r="P247">
        <v>893.6</v>
      </c>
      <c r="Q247">
        <v>10276.4</v>
      </c>
      <c r="R247">
        <v>3</v>
      </c>
      <c r="S247" s="15">
        <f t="shared" si="3"/>
        <v>45962</v>
      </c>
    </row>
    <row r="248" spans="1:19">
      <c r="A248" t="s">
        <v>324</v>
      </c>
      <c r="B248" s="2">
        <v>45971</v>
      </c>
      <c r="C248" t="s">
        <v>29</v>
      </c>
      <c r="D248" t="s">
        <v>30</v>
      </c>
      <c r="E248" t="s">
        <v>42</v>
      </c>
      <c r="F248" t="s">
        <v>31</v>
      </c>
      <c r="G248" t="s">
        <v>92</v>
      </c>
      <c r="H248" t="s">
        <v>24</v>
      </c>
      <c r="I248">
        <v>2</v>
      </c>
      <c r="J248">
        <v>16920</v>
      </c>
      <c r="K248">
        <v>0.03</v>
      </c>
      <c r="L248" t="s">
        <v>34</v>
      </c>
      <c r="M248" t="s">
        <v>44</v>
      </c>
      <c r="N248" t="s">
        <v>27</v>
      </c>
      <c r="O248">
        <v>33840</v>
      </c>
      <c r="P248">
        <v>1015.2</v>
      </c>
      <c r="Q248">
        <v>32824.800000000003</v>
      </c>
      <c r="R248">
        <v>3</v>
      </c>
      <c r="S248" s="15">
        <f t="shared" si="3"/>
        <v>45962</v>
      </c>
    </row>
    <row r="249" spans="1:19">
      <c r="A249" t="s">
        <v>325</v>
      </c>
      <c r="B249" s="2">
        <v>45972</v>
      </c>
      <c r="C249" t="s">
        <v>19</v>
      </c>
      <c r="D249" t="s">
        <v>103</v>
      </c>
      <c r="E249" t="s">
        <v>21</v>
      </c>
      <c r="F249" t="s">
        <v>22</v>
      </c>
      <c r="G249" t="s">
        <v>58</v>
      </c>
      <c r="H249" t="s">
        <v>59</v>
      </c>
      <c r="I249">
        <v>1</v>
      </c>
      <c r="J249">
        <v>7400</v>
      </c>
      <c r="K249">
        <v>0</v>
      </c>
      <c r="L249" t="s">
        <v>64</v>
      </c>
      <c r="M249" t="s">
        <v>35</v>
      </c>
      <c r="N249" t="s">
        <v>27</v>
      </c>
      <c r="O249">
        <v>7400</v>
      </c>
      <c r="P249">
        <v>0</v>
      </c>
      <c r="Q249">
        <v>7400</v>
      </c>
      <c r="R249">
        <v>3</v>
      </c>
      <c r="S249" s="15">
        <f t="shared" si="3"/>
        <v>45962</v>
      </c>
    </row>
    <row r="250" spans="1:19">
      <c r="A250" t="s">
        <v>326</v>
      </c>
      <c r="B250" s="2">
        <v>45973</v>
      </c>
      <c r="C250" t="s">
        <v>19</v>
      </c>
      <c r="D250" t="s">
        <v>20</v>
      </c>
      <c r="E250" t="s">
        <v>42</v>
      </c>
      <c r="F250" t="s">
        <v>31</v>
      </c>
      <c r="G250" t="s">
        <v>37</v>
      </c>
      <c r="H250" t="s">
        <v>24</v>
      </c>
      <c r="I250">
        <v>1</v>
      </c>
      <c r="J250">
        <v>59200</v>
      </c>
      <c r="K250">
        <v>0.05</v>
      </c>
      <c r="L250" t="s">
        <v>54</v>
      </c>
      <c r="M250" t="s">
        <v>55</v>
      </c>
      <c r="N250" t="s">
        <v>27</v>
      </c>
      <c r="O250">
        <v>59200</v>
      </c>
      <c r="P250">
        <v>2960</v>
      </c>
      <c r="Q250">
        <v>56240</v>
      </c>
      <c r="R250">
        <v>3</v>
      </c>
      <c r="S250" s="15">
        <f t="shared" si="3"/>
        <v>45962</v>
      </c>
    </row>
    <row r="251" spans="1:19">
      <c r="A251" t="s">
        <v>327</v>
      </c>
      <c r="B251" s="2">
        <v>45973</v>
      </c>
      <c r="C251" t="s">
        <v>40</v>
      </c>
      <c r="D251" t="s">
        <v>115</v>
      </c>
      <c r="E251" t="s">
        <v>42</v>
      </c>
      <c r="F251" t="s">
        <v>31</v>
      </c>
      <c r="G251" t="s">
        <v>23</v>
      </c>
      <c r="H251" t="s">
        <v>24</v>
      </c>
      <c r="I251">
        <v>1</v>
      </c>
      <c r="J251">
        <v>26970</v>
      </c>
      <c r="K251">
        <v>0.08</v>
      </c>
      <c r="L251" t="s">
        <v>64</v>
      </c>
      <c r="M251" t="s">
        <v>71</v>
      </c>
      <c r="N251" t="s">
        <v>27</v>
      </c>
      <c r="O251">
        <v>26970</v>
      </c>
      <c r="P251">
        <v>2157.6</v>
      </c>
      <c r="Q251">
        <v>24812.400000000001</v>
      </c>
      <c r="R251">
        <v>3</v>
      </c>
      <c r="S251" s="15">
        <f t="shared" si="3"/>
        <v>45962</v>
      </c>
    </row>
    <row r="252" spans="1:19">
      <c r="A252" t="s">
        <v>328</v>
      </c>
      <c r="B252" s="2">
        <v>45973</v>
      </c>
      <c r="C252" t="s">
        <v>29</v>
      </c>
      <c r="D252" t="s">
        <v>78</v>
      </c>
      <c r="E252" t="s">
        <v>42</v>
      </c>
      <c r="F252" t="s">
        <v>22</v>
      </c>
      <c r="G252" t="s">
        <v>152</v>
      </c>
      <c r="H252" t="s">
        <v>74</v>
      </c>
      <c r="I252">
        <v>3</v>
      </c>
      <c r="J252">
        <v>14170</v>
      </c>
      <c r="K252">
        <v>0.03</v>
      </c>
      <c r="L252" t="s">
        <v>68</v>
      </c>
      <c r="M252" t="s">
        <v>26</v>
      </c>
      <c r="N252" t="s">
        <v>27</v>
      </c>
      <c r="O252">
        <v>42510</v>
      </c>
      <c r="P252">
        <v>1275.3</v>
      </c>
      <c r="Q252">
        <v>41234.699999999997</v>
      </c>
      <c r="R252">
        <v>4</v>
      </c>
      <c r="S252" s="15">
        <f t="shared" si="3"/>
        <v>45962</v>
      </c>
    </row>
    <row r="253" spans="1:19">
      <c r="A253" t="s">
        <v>329</v>
      </c>
      <c r="B253" s="2">
        <v>45974</v>
      </c>
      <c r="C253" t="s">
        <v>40</v>
      </c>
      <c r="D253" t="s">
        <v>115</v>
      </c>
      <c r="E253" t="s">
        <v>42</v>
      </c>
      <c r="F253" t="s">
        <v>22</v>
      </c>
      <c r="G253" t="s">
        <v>48</v>
      </c>
      <c r="H253" t="s">
        <v>49</v>
      </c>
      <c r="I253">
        <v>1</v>
      </c>
      <c r="J253">
        <v>13360</v>
      </c>
      <c r="K253">
        <v>0.08</v>
      </c>
      <c r="L253" t="s">
        <v>54</v>
      </c>
      <c r="M253" t="s">
        <v>38</v>
      </c>
      <c r="N253" t="s">
        <v>27</v>
      </c>
      <c r="O253">
        <v>13360</v>
      </c>
      <c r="P253">
        <v>1068.8</v>
      </c>
      <c r="Q253">
        <v>12291.2</v>
      </c>
      <c r="R253">
        <v>2</v>
      </c>
      <c r="S253" s="15">
        <f t="shared" si="3"/>
        <v>45962</v>
      </c>
    </row>
    <row r="254" spans="1:19">
      <c r="A254" t="s">
        <v>330</v>
      </c>
      <c r="B254" s="2">
        <v>45974</v>
      </c>
      <c r="C254" t="s">
        <v>40</v>
      </c>
      <c r="D254" t="s">
        <v>47</v>
      </c>
      <c r="E254" t="s">
        <v>42</v>
      </c>
      <c r="F254" t="s">
        <v>31</v>
      </c>
      <c r="G254" t="s">
        <v>43</v>
      </c>
      <c r="H254" t="s">
        <v>33</v>
      </c>
      <c r="I254">
        <v>3</v>
      </c>
      <c r="J254">
        <v>970</v>
      </c>
      <c r="K254">
        <v>0.15</v>
      </c>
      <c r="L254" t="s">
        <v>34</v>
      </c>
      <c r="M254" t="s">
        <v>55</v>
      </c>
      <c r="N254" t="s">
        <v>27</v>
      </c>
      <c r="O254">
        <v>2910</v>
      </c>
      <c r="P254">
        <v>436.5</v>
      </c>
      <c r="Q254">
        <v>2473.5</v>
      </c>
      <c r="R254">
        <v>1</v>
      </c>
      <c r="S254" s="15">
        <f t="shared" si="3"/>
        <v>45962</v>
      </c>
    </row>
    <row r="255" spans="1:19">
      <c r="A255" t="s">
        <v>331</v>
      </c>
      <c r="B255" s="2">
        <v>45975</v>
      </c>
      <c r="C255" t="s">
        <v>40</v>
      </c>
      <c r="D255" t="s">
        <v>115</v>
      </c>
      <c r="E255" t="s">
        <v>70</v>
      </c>
      <c r="F255" t="s">
        <v>22</v>
      </c>
      <c r="G255" t="s">
        <v>58</v>
      </c>
      <c r="H255" t="s">
        <v>59</v>
      </c>
      <c r="I255">
        <v>5</v>
      </c>
      <c r="J255">
        <v>7570</v>
      </c>
      <c r="K255">
        <v>0.08</v>
      </c>
      <c r="L255" t="s">
        <v>68</v>
      </c>
      <c r="M255" t="s">
        <v>44</v>
      </c>
      <c r="N255" t="s">
        <v>27</v>
      </c>
      <c r="O255">
        <v>37850</v>
      </c>
      <c r="P255">
        <v>3028</v>
      </c>
      <c r="Q255">
        <v>34822</v>
      </c>
      <c r="R255">
        <v>6</v>
      </c>
      <c r="S255" s="15">
        <f t="shared" si="3"/>
        <v>45962</v>
      </c>
    </row>
    <row r="256" spans="1:19">
      <c r="A256" t="s">
        <v>332</v>
      </c>
      <c r="B256" s="2">
        <v>45975</v>
      </c>
      <c r="C256" t="s">
        <v>19</v>
      </c>
      <c r="D256" t="s">
        <v>103</v>
      </c>
      <c r="E256" t="s">
        <v>42</v>
      </c>
      <c r="F256" t="s">
        <v>22</v>
      </c>
      <c r="G256" t="s">
        <v>105</v>
      </c>
      <c r="H256" t="s">
        <v>24</v>
      </c>
      <c r="I256">
        <v>1</v>
      </c>
      <c r="J256">
        <v>3030</v>
      </c>
      <c r="K256">
        <v>0.1</v>
      </c>
      <c r="L256" t="s">
        <v>64</v>
      </c>
      <c r="M256" t="s">
        <v>71</v>
      </c>
      <c r="N256" t="s">
        <v>27</v>
      </c>
      <c r="O256">
        <v>3030</v>
      </c>
      <c r="P256">
        <v>303</v>
      </c>
      <c r="Q256">
        <v>2727</v>
      </c>
      <c r="R256">
        <v>6</v>
      </c>
      <c r="S256" s="15">
        <f t="shared" si="3"/>
        <v>45962</v>
      </c>
    </row>
    <row r="257" spans="1:19">
      <c r="A257" t="s">
        <v>333</v>
      </c>
      <c r="B257" s="2">
        <v>45976</v>
      </c>
      <c r="C257" t="s">
        <v>19</v>
      </c>
      <c r="D257" t="s">
        <v>52</v>
      </c>
      <c r="E257" t="s">
        <v>70</v>
      </c>
      <c r="F257" t="s">
        <v>22</v>
      </c>
      <c r="G257" t="s">
        <v>152</v>
      </c>
      <c r="H257" t="s">
        <v>74</v>
      </c>
      <c r="I257">
        <v>2</v>
      </c>
      <c r="J257">
        <v>14480</v>
      </c>
      <c r="K257">
        <v>0</v>
      </c>
      <c r="L257" t="s">
        <v>25</v>
      </c>
      <c r="M257" t="s">
        <v>55</v>
      </c>
      <c r="N257" t="s">
        <v>27</v>
      </c>
      <c r="O257">
        <v>28960</v>
      </c>
      <c r="P257">
        <v>0</v>
      </c>
      <c r="Q257">
        <v>28960</v>
      </c>
      <c r="R257">
        <v>4</v>
      </c>
      <c r="S257" s="15">
        <f t="shared" si="3"/>
        <v>45962</v>
      </c>
    </row>
    <row r="258" spans="1:19">
      <c r="A258" t="s">
        <v>334</v>
      </c>
      <c r="B258" s="2">
        <v>45978</v>
      </c>
      <c r="C258" t="s">
        <v>40</v>
      </c>
      <c r="D258" t="s">
        <v>41</v>
      </c>
      <c r="E258" t="s">
        <v>42</v>
      </c>
      <c r="F258" t="s">
        <v>22</v>
      </c>
      <c r="G258" t="s">
        <v>58</v>
      </c>
      <c r="H258" t="s">
        <v>59</v>
      </c>
      <c r="I258">
        <v>1</v>
      </c>
      <c r="J258">
        <v>7160</v>
      </c>
      <c r="K258">
        <v>0.08</v>
      </c>
      <c r="L258" t="s">
        <v>54</v>
      </c>
      <c r="M258" t="s">
        <v>44</v>
      </c>
      <c r="N258" t="s">
        <v>27</v>
      </c>
      <c r="O258">
        <v>7160</v>
      </c>
      <c r="P258">
        <v>572.79999999999995</v>
      </c>
      <c r="Q258">
        <v>6587.2</v>
      </c>
      <c r="R258">
        <v>2</v>
      </c>
      <c r="S258" s="15">
        <f t="shared" ref="S258:S321" si="4">DATE(YEAR(B258),MONTH(B258),1)</f>
        <v>45962</v>
      </c>
    </row>
    <row r="259" spans="1:19">
      <c r="A259" t="s">
        <v>335</v>
      </c>
      <c r="B259" s="2">
        <v>45978</v>
      </c>
      <c r="C259" t="s">
        <v>19</v>
      </c>
      <c r="D259" t="s">
        <v>57</v>
      </c>
      <c r="E259" t="s">
        <v>21</v>
      </c>
      <c r="F259" t="s">
        <v>22</v>
      </c>
      <c r="G259" t="s">
        <v>48</v>
      </c>
      <c r="H259" t="s">
        <v>49</v>
      </c>
      <c r="I259">
        <v>3</v>
      </c>
      <c r="J259">
        <v>12380</v>
      </c>
      <c r="K259">
        <v>0.05</v>
      </c>
      <c r="L259" t="s">
        <v>25</v>
      </c>
      <c r="M259" t="s">
        <v>26</v>
      </c>
      <c r="N259" t="s">
        <v>27</v>
      </c>
      <c r="O259">
        <v>37140</v>
      </c>
      <c r="P259">
        <v>1857</v>
      </c>
      <c r="Q259">
        <v>35283</v>
      </c>
      <c r="R259">
        <v>6</v>
      </c>
      <c r="S259" s="15">
        <f t="shared" si="4"/>
        <v>45962</v>
      </c>
    </row>
    <row r="260" spans="1:19">
      <c r="A260" t="s">
        <v>336</v>
      </c>
      <c r="B260" s="2">
        <v>45978</v>
      </c>
      <c r="C260" t="s">
        <v>82</v>
      </c>
      <c r="D260" t="s">
        <v>122</v>
      </c>
      <c r="E260" t="s">
        <v>42</v>
      </c>
      <c r="F260" t="s">
        <v>22</v>
      </c>
      <c r="G260" t="s">
        <v>58</v>
      </c>
      <c r="H260" t="s">
        <v>59</v>
      </c>
      <c r="I260">
        <v>1</v>
      </c>
      <c r="J260">
        <v>7490</v>
      </c>
      <c r="K260">
        <v>0.15</v>
      </c>
      <c r="L260" t="s">
        <v>54</v>
      </c>
      <c r="M260" t="s">
        <v>38</v>
      </c>
      <c r="N260" t="s">
        <v>27</v>
      </c>
      <c r="O260">
        <v>7490</v>
      </c>
      <c r="P260">
        <v>1123.5</v>
      </c>
      <c r="Q260">
        <v>6366.5</v>
      </c>
      <c r="R260">
        <v>4</v>
      </c>
      <c r="S260" s="15">
        <f t="shared" si="4"/>
        <v>45962</v>
      </c>
    </row>
    <row r="261" spans="1:19">
      <c r="A261" t="s">
        <v>337</v>
      </c>
      <c r="B261" s="2">
        <v>45979</v>
      </c>
      <c r="C261" t="s">
        <v>82</v>
      </c>
      <c r="D261" t="s">
        <v>83</v>
      </c>
      <c r="E261" t="s">
        <v>42</v>
      </c>
      <c r="F261" t="s">
        <v>53</v>
      </c>
      <c r="G261" t="s">
        <v>73</v>
      </c>
      <c r="H261" t="s">
        <v>74</v>
      </c>
      <c r="I261">
        <v>3</v>
      </c>
      <c r="J261">
        <v>11190</v>
      </c>
      <c r="K261">
        <v>0.08</v>
      </c>
      <c r="L261" t="s">
        <v>68</v>
      </c>
      <c r="M261" t="s">
        <v>44</v>
      </c>
      <c r="N261" t="s">
        <v>27</v>
      </c>
      <c r="O261">
        <v>33570</v>
      </c>
      <c r="P261">
        <v>2685.6</v>
      </c>
      <c r="Q261">
        <v>30884.400000000001</v>
      </c>
      <c r="R261">
        <v>2</v>
      </c>
      <c r="S261" s="15">
        <f t="shared" si="4"/>
        <v>45962</v>
      </c>
    </row>
    <row r="262" spans="1:19">
      <c r="A262" t="s">
        <v>338</v>
      </c>
      <c r="B262" s="2">
        <v>45981</v>
      </c>
      <c r="C262" t="s">
        <v>40</v>
      </c>
      <c r="D262" t="s">
        <v>89</v>
      </c>
      <c r="E262" t="s">
        <v>42</v>
      </c>
      <c r="F262" t="s">
        <v>22</v>
      </c>
      <c r="G262" t="s">
        <v>92</v>
      </c>
      <c r="H262" t="s">
        <v>24</v>
      </c>
      <c r="I262">
        <v>3</v>
      </c>
      <c r="J262">
        <v>15980</v>
      </c>
      <c r="K262">
        <v>0.05</v>
      </c>
      <c r="L262" t="s">
        <v>64</v>
      </c>
      <c r="M262" t="s">
        <v>26</v>
      </c>
      <c r="N262" t="s">
        <v>27</v>
      </c>
      <c r="O262">
        <v>47940</v>
      </c>
      <c r="P262">
        <v>2397</v>
      </c>
      <c r="Q262">
        <v>45543</v>
      </c>
      <c r="R262">
        <v>4</v>
      </c>
      <c r="S262" s="15">
        <f t="shared" si="4"/>
        <v>45962</v>
      </c>
    </row>
    <row r="263" spans="1:19">
      <c r="A263" t="s">
        <v>339</v>
      </c>
      <c r="B263" s="2">
        <v>45982</v>
      </c>
      <c r="C263" t="s">
        <v>40</v>
      </c>
      <c r="D263" t="s">
        <v>89</v>
      </c>
      <c r="E263" t="s">
        <v>21</v>
      </c>
      <c r="F263" t="s">
        <v>22</v>
      </c>
      <c r="G263" t="s">
        <v>37</v>
      </c>
      <c r="H263" t="s">
        <v>24</v>
      </c>
      <c r="I263">
        <v>1</v>
      </c>
      <c r="J263">
        <v>66180</v>
      </c>
      <c r="K263">
        <v>0.05</v>
      </c>
      <c r="L263" t="s">
        <v>68</v>
      </c>
      <c r="M263" t="s">
        <v>44</v>
      </c>
      <c r="N263" t="s">
        <v>27</v>
      </c>
      <c r="O263">
        <v>66180</v>
      </c>
      <c r="P263">
        <v>3309</v>
      </c>
      <c r="Q263">
        <v>62871</v>
      </c>
      <c r="R263">
        <v>6</v>
      </c>
      <c r="S263" s="15">
        <f t="shared" si="4"/>
        <v>45962</v>
      </c>
    </row>
    <row r="264" spans="1:19">
      <c r="A264" t="s">
        <v>340</v>
      </c>
      <c r="B264" s="2">
        <v>45983</v>
      </c>
      <c r="C264" t="s">
        <v>40</v>
      </c>
      <c r="D264" t="s">
        <v>41</v>
      </c>
      <c r="E264" t="s">
        <v>42</v>
      </c>
      <c r="F264" t="s">
        <v>22</v>
      </c>
      <c r="G264" t="s">
        <v>92</v>
      </c>
      <c r="H264" t="s">
        <v>24</v>
      </c>
      <c r="I264">
        <v>1</v>
      </c>
      <c r="J264">
        <v>15880</v>
      </c>
      <c r="K264">
        <v>0</v>
      </c>
      <c r="L264" t="s">
        <v>54</v>
      </c>
      <c r="M264" t="s">
        <v>66</v>
      </c>
      <c r="N264" t="s">
        <v>27</v>
      </c>
      <c r="O264">
        <v>15880</v>
      </c>
      <c r="P264">
        <v>0</v>
      </c>
      <c r="Q264">
        <v>15880</v>
      </c>
      <c r="R264">
        <v>3</v>
      </c>
      <c r="S264" s="15">
        <f t="shared" si="4"/>
        <v>45962</v>
      </c>
    </row>
    <row r="265" spans="1:19">
      <c r="A265" t="s">
        <v>341</v>
      </c>
      <c r="B265" s="2">
        <v>45984</v>
      </c>
      <c r="C265" t="s">
        <v>19</v>
      </c>
      <c r="D265" t="s">
        <v>52</v>
      </c>
      <c r="E265" t="s">
        <v>21</v>
      </c>
      <c r="F265" t="s">
        <v>22</v>
      </c>
      <c r="G265" t="s">
        <v>101</v>
      </c>
      <c r="H265" t="s">
        <v>33</v>
      </c>
      <c r="I265">
        <v>1</v>
      </c>
      <c r="J265">
        <v>1910</v>
      </c>
      <c r="K265">
        <v>0.05</v>
      </c>
      <c r="L265" t="s">
        <v>68</v>
      </c>
      <c r="M265" t="s">
        <v>71</v>
      </c>
      <c r="N265" t="s">
        <v>27</v>
      </c>
      <c r="O265">
        <v>1910</v>
      </c>
      <c r="P265">
        <v>95.5</v>
      </c>
      <c r="Q265">
        <v>1814.5</v>
      </c>
      <c r="R265">
        <v>2</v>
      </c>
      <c r="S265" s="15">
        <f t="shared" si="4"/>
        <v>45962</v>
      </c>
    </row>
    <row r="266" spans="1:19">
      <c r="A266" t="s">
        <v>342</v>
      </c>
      <c r="B266" s="2">
        <v>45985</v>
      </c>
      <c r="C266" t="s">
        <v>29</v>
      </c>
      <c r="D266" t="s">
        <v>85</v>
      </c>
      <c r="E266" t="s">
        <v>42</v>
      </c>
      <c r="F266" t="s">
        <v>22</v>
      </c>
      <c r="G266" t="s">
        <v>43</v>
      </c>
      <c r="H266" t="s">
        <v>33</v>
      </c>
      <c r="I266">
        <v>3</v>
      </c>
      <c r="J266">
        <v>890</v>
      </c>
      <c r="K266">
        <v>0.05</v>
      </c>
      <c r="L266" t="s">
        <v>25</v>
      </c>
      <c r="M266" t="s">
        <v>71</v>
      </c>
      <c r="N266" t="s">
        <v>27</v>
      </c>
      <c r="O266">
        <v>2670</v>
      </c>
      <c r="P266">
        <v>133.5</v>
      </c>
      <c r="Q266">
        <v>2536.5</v>
      </c>
      <c r="R266">
        <v>5</v>
      </c>
      <c r="S266" s="15">
        <f t="shared" si="4"/>
        <v>45962</v>
      </c>
    </row>
    <row r="267" spans="1:19">
      <c r="A267" t="s">
        <v>343</v>
      </c>
      <c r="B267" s="2">
        <v>45986</v>
      </c>
      <c r="C267" t="s">
        <v>40</v>
      </c>
      <c r="D267" t="s">
        <v>89</v>
      </c>
      <c r="E267" t="s">
        <v>42</v>
      </c>
      <c r="F267" t="s">
        <v>22</v>
      </c>
      <c r="G267" t="s">
        <v>73</v>
      </c>
      <c r="H267" t="s">
        <v>74</v>
      </c>
      <c r="I267">
        <v>1</v>
      </c>
      <c r="J267">
        <v>12230</v>
      </c>
      <c r="K267">
        <v>0</v>
      </c>
      <c r="L267" t="s">
        <v>25</v>
      </c>
      <c r="M267" t="s">
        <v>71</v>
      </c>
      <c r="N267" t="s">
        <v>27</v>
      </c>
      <c r="O267">
        <v>12230</v>
      </c>
      <c r="P267">
        <v>0</v>
      </c>
      <c r="Q267">
        <v>12230</v>
      </c>
      <c r="R267">
        <v>2</v>
      </c>
      <c r="S267" s="15">
        <f t="shared" si="4"/>
        <v>45962</v>
      </c>
    </row>
    <row r="268" spans="1:19">
      <c r="A268" t="s">
        <v>344</v>
      </c>
      <c r="B268" s="2">
        <v>45986</v>
      </c>
      <c r="C268" t="s">
        <v>19</v>
      </c>
      <c r="D268" t="s">
        <v>103</v>
      </c>
      <c r="E268" t="s">
        <v>21</v>
      </c>
      <c r="F268" t="s">
        <v>31</v>
      </c>
      <c r="G268" t="s">
        <v>23</v>
      </c>
      <c r="H268" t="s">
        <v>24</v>
      </c>
      <c r="I268">
        <v>3</v>
      </c>
      <c r="J268">
        <v>27700</v>
      </c>
      <c r="K268">
        <v>0.08</v>
      </c>
      <c r="L268" t="s">
        <v>64</v>
      </c>
      <c r="M268" t="s">
        <v>38</v>
      </c>
      <c r="N268" t="s">
        <v>27</v>
      </c>
      <c r="O268">
        <v>83100</v>
      </c>
      <c r="P268">
        <v>6648</v>
      </c>
      <c r="Q268">
        <v>76452</v>
      </c>
      <c r="R268">
        <v>2</v>
      </c>
      <c r="S268" s="15">
        <f t="shared" si="4"/>
        <v>45962</v>
      </c>
    </row>
    <row r="269" spans="1:19">
      <c r="A269" t="s">
        <v>345</v>
      </c>
      <c r="B269" s="2">
        <v>45987</v>
      </c>
      <c r="C269" t="s">
        <v>40</v>
      </c>
      <c r="D269" t="s">
        <v>89</v>
      </c>
      <c r="E269" t="s">
        <v>70</v>
      </c>
      <c r="F269" t="s">
        <v>31</v>
      </c>
      <c r="G269" t="s">
        <v>58</v>
      </c>
      <c r="H269" t="s">
        <v>59</v>
      </c>
      <c r="I269">
        <v>3</v>
      </c>
      <c r="J269">
        <v>6870</v>
      </c>
      <c r="K269">
        <v>0.1</v>
      </c>
      <c r="L269" t="s">
        <v>64</v>
      </c>
      <c r="M269" t="s">
        <v>50</v>
      </c>
      <c r="N269" t="s">
        <v>27</v>
      </c>
      <c r="O269">
        <v>20610</v>
      </c>
      <c r="P269">
        <v>2061</v>
      </c>
      <c r="Q269">
        <v>18549</v>
      </c>
      <c r="R269">
        <v>3</v>
      </c>
      <c r="S269" s="15">
        <f t="shared" si="4"/>
        <v>45962</v>
      </c>
    </row>
    <row r="270" spans="1:19">
      <c r="A270" t="s">
        <v>346</v>
      </c>
      <c r="B270" s="2">
        <v>45987</v>
      </c>
      <c r="C270" t="s">
        <v>40</v>
      </c>
      <c r="D270" t="s">
        <v>41</v>
      </c>
      <c r="E270" t="s">
        <v>21</v>
      </c>
      <c r="F270" t="s">
        <v>31</v>
      </c>
      <c r="G270" t="s">
        <v>92</v>
      </c>
      <c r="H270" t="s">
        <v>24</v>
      </c>
      <c r="I270">
        <v>2</v>
      </c>
      <c r="J270">
        <v>16960</v>
      </c>
      <c r="K270">
        <v>0.05</v>
      </c>
      <c r="L270" t="s">
        <v>68</v>
      </c>
      <c r="M270" t="s">
        <v>55</v>
      </c>
      <c r="N270" t="s">
        <v>27</v>
      </c>
      <c r="O270">
        <v>33920</v>
      </c>
      <c r="P270">
        <v>1696</v>
      </c>
      <c r="Q270">
        <v>32224</v>
      </c>
      <c r="R270">
        <v>5</v>
      </c>
      <c r="S270" s="15">
        <f t="shared" si="4"/>
        <v>45962</v>
      </c>
    </row>
    <row r="271" spans="1:19">
      <c r="A271" t="s">
        <v>347</v>
      </c>
      <c r="B271" s="2">
        <v>45987</v>
      </c>
      <c r="C271" t="s">
        <v>19</v>
      </c>
      <c r="D271" t="s">
        <v>103</v>
      </c>
      <c r="E271" t="s">
        <v>21</v>
      </c>
      <c r="F271" t="s">
        <v>22</v>
      </c>
      <c r="G271" t="s">
        <v>73</v>
      </c>
      <c r="H271" t="s">
        <v>74</v>
      </c>
      <c r="I271">
        <v>2</v>
      </c>
      <c r="J271">
        <v>11870</v>
      </c>
      <c r="K271">
        <v>0.03</v>
      </c>
      <c r="L271" t="s">
        <v>68</v>
      </c>
      <c r="M271" t="s">
        <v>71</v>
      </c>
      <c r="N271" t="s">
        <v>27</v>
      </c>
      <c r="O271">
        <v>23740</v>
      </c>
      <c r="P271">
        <v>712.2</v>
      </c>
      <c r="Q271">
        <v>23027.8</v>
      </c>
      <c r="R271">
        <v>3</v>
      </c>
      <c r="S271" s="15">
        <f t="shared" si="4"/>
        <v>45962</v>
      </c>
    </row>
    <row r="272" spans="1:19">
      <c r="A272" t="s">
        <v>348</v>
      </c>
      <c r="B272" s="2">
        <v>45989</v>
      </c>
      <c r="C272" t="s">
        <v>82</v>
      </c>
      <c r="D272" t="s">
        <v>122</v>
      </c>
      <c r="E272" t="s">
        <v>42</v>
      </c>
      <c r="F272" t="s">
        <v>22</v>
      </c>
      <c r="G272" t="s">
        <v>43</v>
      </c>
      <c r="H272" t="s">
        <v>33</v>
      </c>
      <c r="I272">
        <v>4</v>
      </c>
      <c r="J272">
        <v>940</v>
      </c>
      <c r="K272">
        <v>0.15</v>
      </c>
      <c r="L272" t="s">
        <v>25</v>
      </c>
      <c r="M272" t="s">
        <v>50</v>
      </c>
      <c r="N272" t="s">
        <v>27</v>
      </c>
      <c r="O272">
        <v>3760</v>
      </c>
      <c r="P272">
        <v>564</v>
      </c>
      <c r="Q272">
        <v>3196</v>
      </c>
      <c r="R272">
        <v>3</v>
      </c>
      <c r="S272" s="15">
        <f t="shared" si="4"/>
        <v>45962</v>
      </c>
    </row>
    <row r="273" spans="1:19">
      <c r="A273" t="s">
        <v>349</v>
      </c>
      <c r="B273" s="2">
        <v>45990</v>
      </c>
      <c r="C273" t="s">
        <v>40</v>
      </c>
      <c r="D273" t="s">
        <v>47</v>
      </c>
      <c r="E273" t="s">
        <v>42</v>
      </c>
      <c r="F273" t="s">
        <v>22</v>
      </c>
      <c r="G273" t="s">
        <v>23</v>
      </c>
      <c r="H273" t="s">
        <v>24</v>
      </c>
      <c r="I273">
        <v>1</v>
      </c>
      <c r="J273">
        <v>29720</v>
      </c>
      <c r="K273">
        <v>0</v>
      </c>
      <c r="L273" t="s">
        <v>64</v>
      </c>
      <c r="M273" t="s">
        <v>71</v>
      </c>
      <c r="N273" t="s">
        <v>27</v>
      </c>
      <c r="O273">
        <v>29720</v>
      </c>
      <c r="P273">
        <v>0</v>
      </c>
      <c r="Q273">
        <v>29720</v>
      </c>
      <c r="R273">
        <v>1</v>
      </c>
      <c r="S273" s="15">
        <f t="shared" si="4"/>
        <v>45962</v>
      </c>
    </row>
    <row r="274" spans="1:19">
      <c r="A274" t="s">
        <v>350</v>
      </c>
      <c r="B274" s="2">
        <v>45990</v>
      </c>
      <c r="C274" t="s">
        <v>19</v>
      </c>
      <c r="D274" t="s">
        <v>57</v>
      </c>
      <c r="E274" t="s">
        <v>21</v>
      </c>
      <c r="F274" t="s">
        <v>31</v>
      </c>
      <c r="G274" t="s">
        <v>152</v>
      </c>
      <c r="H274" t="s">
        <v>74</v>
      </c>
      <c r="I274">
        <v>1</v>
      </c>
      <c r="J274">
        <v>13510</v>
      </c>
      <c r="K274">
        <v>0.05</v>
      </c>
      <c r="L274" t="s">
        <v>68</v>
      </c>
      <c r="M274" t="s">
        <v>26</v>
      </c>
      <c r="N274" t="s">
        <v>45</v>
      </c>
      <c r="O274">
        <v>0</v>
      </c>
      <c r="P274">
        <v>0</v>
      </c>
      <c r="Q274">
        <v>0</v>
      </c>
      <c r="S274" s="15">
        <f t="shared" si="4"/>
        <v>45962</v>
      </c>
    </row>
    <row r="275" spans="1:19">
      <c r="A275" t="s">
        <v>351</v>
      </c>
      <c r="B275" s="2">
        <v>45990</v>
      </c>
      <c r="C275" t="s">
        <v>82</v>
      </c>
      <c r="D275" t="s">
        <v>83</v>
      </c>
      <c r="E275" t="s">
        <v>21</v>
      </c>
      <c r="F275" t="s">
        <v>22</v>
      </c>
      <c r="G275" t="s">
        <v>32</v>
      </c>
      <c r="H275" t="s">
        <v>33</v>
      </c>
      <c r="I275">
        <v>2</v>
      </c>
      <c r="J275">
        <v>2340</v>
      </c>
      <c r="K275">
        <v>0.1</v>
      </c>
      <c r="L275" t="s">
        <v>25</v>
      </c>
      <c r="M275" t="s">
        <v>55</v>
      </c>
      <c r="N275" t="s">
        <v>27</v>
      </c>
      <c r="O275">
        <v>4680</v>
      </c>
      <c r="P275">
        <v>468</v>
      </c>
      <c r="Q275">
        <v>4212</v>
      </c>
      <c r="R275">
        <v>1</v>
      </c>
      <c r="S275" s="15">
        <f t="shared" si="4"/>
        <v>45962</v>
      </c>
    </row>
    <row r="276" spans="1:19">
      <c r="A276" t="s">
        <v>352</v>
      </c>
      <c r="B276" s="2">
        <v>45991</v>
      </c>
      <c r="C276" t="s">
        <v>82</v>
      </c>
      <c r="D276" t="s">
        <v>178</v>
      </c>
      <c r="E276" t="s">
        <v>21</v>
      </c>
      <c r="F276" t="s">
        <v>22</v>
      </c>
      <c r="G276" t="s">
        <v>95</v>
      </c>
      <c r="H276" t="s">
        <v>24</v>
      </c>
      <c r="I276">
        <v>1</v>
      </c>
      <c r="J276">
        <v>23240</v>
      </c>
      <c r="K276">
        <v>0</v>
      </c>
      <c r="L276" t="s">
        <v>64</v>
      </c>
      <c r="M276" t="s">
        <v>38</v>
      </c>
      <c r="N276" t="s">
        <v>130</v>
      </c>
      <c r="O276">
        <v>23240</v>
      </c>
      <c r="P276">
        <v>0</v>
      </c>
      <c r="Q276">
        <v>23240</v>
      </c>
      <c r="R276">
        <v>5</v>
      </c>
      <c r="S276" s="15">
        <f t="shared" si="4"/>
        <v>45962</v>
      </c>
    </row>
    <row r="277" spans="1:19">
      <c r="A277" t="s">
        <v>353</v>
      </c>
      <c r="B277" s="2">
        <v>45992</v>
      </c>
      <c r="C277" t="s">
        <v>82</v>
      </c>
      <c r="D277" t="s">
        <v>178</v>
      </c>
      <c r="E277" t="s">
        <v>70</v>
      </c>
      <c r="F277" t="s">
        <v>31</v>
      </c>
      <c r="G277" t="s">
        <v>48</v>
      </c>
      <c r="H277" t="s">
        <v>49</v>
      </c>
      <c r="I277">
        <v>3</v>
      </c>
      <c r="J277">
        <v>12710</v>
      </c>
      <c r="K277">
        <v>0.03</v>
      </c>
      <c r="L277" t="s">
        <v>34</v>
      </c>
      <c r="M277" t="s">
        <v>44</v>
      </c>
      <c r="N277" t="s">
        <v>27</v>
      </c>
      <c r="O277">
        <v>38130</v>
      </c>
      <c r="P277">
        <v>1143.9000000000001</v>
      </c>
      <c r="Q277">
        <v>36986.1</v>
      </c>
      <c r="R277">
        <v>5</v>
      </c>
      <c r="S277" s="15">
        <f t="shared" si="4"/>
        <v>45992</v>
      </c>
    </row>
    <row r="278" spans="1:19">
      <c r="A278" t="s">
        <v>354</v>
      </c>
      <c r="B278" s="2">
        <v>45992</v>
      </c>
      <c r="C278" t="s">
        <v>29</v>
      </c>
      <c r="D278" t="s">
        <v>30</v>
      </c>
      <c r="E278" t="s">
        <v>42</v>
      </c>
      <c r="F278" t="s">
        <v>22</v>
      </c>
      <c r="G278" t="s">
        <v>43</v>
      </c>
      <c r="H278" t="s">
        <v>33</v>
      </c>
      <c r="I278">
        <v>3</v>
      </c>
      <c r="J278">
        <v>970</v>
      </c>
      <c r="K278">
        <v>0.03</v>
      </c>
      <c r="L278" t="s">
        <v>64</v>
      </c>
      <c r="M278" t="s">
        <v>66</v>
      </c>
      <c r="N278" t="s">
        <v>27</v>
      </c>
      <c r="O278">
        <v>2910</v>
      </c>
      <c r="P278">
        <v>87.3</v>
      </c>
      <c r="Q278">
        <v>2822.7</v>
      </c>
      <c r="R278">
        <v>3</v>
      </c>
      <c r="S278" s="15">
        <f t="shared" si="4"/>
        <v>45992</v>
      </c>
    </row>
    <row r="279" spans="1:19">
      <c r="A279" t="s">
        <v>355</v>
      </c>
      <c r="B279" s="2">
        <v>45992</v>
      </c>
      <c r="C279" t="s">
        <v>40</v>
      </c>
      <c r="D279" t="s">
        <v>89</v>
      </c>
      <c r="E279" t="s">
        <v>21</v>
      </c>
      <c r="F279" t="s">
        <v>22</v>
      </c>
      <c r="G279" t="s">
        <v>152</v>
      </c>
      <c r="H279" t="s">
        <v>74</v>
      </c>
      <c r="I279">
        <v>3</v>
      </c>
      <c r="J279">
        <v>13900</v>
      </c>
      <c r="K279">
        <v>0.1</v>
      </c>
      <c r="L279" t="s">
        <v>25</v>
      </c>
      <c r="M279" t="s">
        <v>66</v>
      </c>
      <c r="N279" t="s">
        <v>27</v>
      </c>
      <c r="O279">
        <v>41700</v>
      </c>
      <c r="P279">
        <v>4170</v>
      </c>
      <c r="Q279">
        <v>37530</v>
      </c>
      <c r="R279">
        <v>3</v>
      </c>
      <c r="S279" s="15">
        <f t="shared" si="4"/>
        <v>45992</v>
      </c>
    </row>
    <row r="280" spans="1:19">
      <c r="A280" t="s">
        <v>356</v>
      </c>
      <c r="B280" s="2">
        <v>45992</v>
      </c>
      <c r="C280" t="s">
        <v>40</v>
      </c>
      <c r="D280" t="s">
        <v>89</v>
      </c>
      <c r="E280" t="s">
        <v>42</v>
      </c>
      <c r="F280" t="s">
        <v>22</v>
      </c>
      <c r="G280" t="s">
        <v>92</v>
      </c>
      <c r="H280" t="s">
        <v>24</v>
      </c>
      <c r="I280">
        <v>2</v>
      </c>
      <c r="J280">
        <v>16780</v>
      </c>
      <c r="K280">
        <v>0.1</v>
      </c>
      <c r="L280" t="s">
        <v>64</v>
      </c>
      <c r="M280" t="s">
        <v>66</v>
      </c>
      <c r="N280" t="s">
        <v>27</v>
      </c>
      <c r="O280">
        <v>33560</v>
      </c>
      <c r="P280">
        <v>3356</v>
      </c>
      <c r="Q280">
        <v>30204</v>
      </c>
      <c r="R280">
        <v>3</v>
      </c>
      <c r="S280" s="15">
        <f t="shared" si="4"/>
        <v>45992</v>
      </c>
    </row>
    <row r="281" spans="1:19">
      <c r="A281" t="s">
        <v>357</v>
      </c>
      <c r="B281" s="2">
        <v>45992</v>
      </c>
      <c r="C281" t="s">
        <v>40</v>
      </c>
      <c r="D281" t="s">
        <v>47</v>
      </c>
      <c r="E281" t="s">
        <v>21</v>
      </c>
      <c r="F281" t="s">
        <v>22</v>
      </c>
      <c r="G281" t="s">
        <v>23</v>
      </c>
      <c r="H281" t="s">
        <v>24</v>
      </c>
      <c r="I281">
        <v>1</v>
      </c>
      <c r="J281">
        <v>27170</v>
      </c>
      <c r="K281">
        <v>0.08</v>
      </c>
      <c r="L281" t="s">
        <v>68</v>
      </c>
      <c r="M281" t="s">
        <v>55</v>
      </c>
      <c r="N281" t="s">
        <v>45</v>
      </c>
      <c r="O281">
        <v>0</v>
      </c>
      <c r="P281">
        <v>0</v>
      </c>
      <c r="Q281">
        <v>0</v>
      </c>
      <c r="S281" s="15">
        <f t="shared" si="4"/>
        <v>45992</v>
      </c>
    </row>
    <row r="282" spans="1:19">
      <c r="A282" t="s">
        <v>358</v>
      </c>
      <c r="B282" s="2">
        <v>45995</v>
      </c>
      <c r="C282" t="s">
        <v>19</v>
      </c>
      <c r="D282" t="s">
        <v>20</v>
      </c>
      <c r="E282" t="s">
        <v>42</v>
      </c>
      <c r="F282" t="s">
        <v>22</v>
      </c>
      <c r="G282" t="s">
        <v>62</v>
      </c>
      <c r="H282" t="s">
        <v>33</v>
      </c>
      <c r="I282">
        <v>3</v>
      </c>
      <c r="J282">
        <v>1770</v>
      </c>
      <c r="K282">
        <v>0.08</v>
      </c>
      <c r="L282" t="s">
        <v>68</v>
      </c>
      <c r="M282" t="s">
        <v>44</v>
      </c>
      <c r="N282" t="s">
        <v>27</v>
      </c>
      <c r="O282">
        <v>5310</v>
      </c>
      <c r="P282">
        <v>424.8</v>
      </c>
      <c r="Q282">
        <v>4885.2</v>
      </c>
      <c r="R282">
        <v>4</v>
      </c>
      <c r="S282" s="15">
        <f t="shared" si="4"/>
        <v>45992</v>
      </c>
    </row>
    <row r="283" spans="1:19">
      <c r="A283" t="s">
        <v>359</v>
      </c>
      <c r="B283" s="2">
        <v>45995</v>
      </c>
      <c r="C283" t="s">
        <v>19</v>
      </c>
      <c r="D283" t="s">
        <v>52</v>
      </c>
      <c r="E283" t="s">
        <v>70</v>
      </c>
      <c r="F283" t="s">
        <v>53</v>
      </c>
      <c r="G283" t="s">
        <v>92</v>
      </c>
      <c r="H283" t="s">
        <v>24</v>
      </c>
      <c r="I283">
        <v>1</v>
      </c>
      <c r="J283">
        <v>16400</v>
      </c>
      <c r="K283">
        <v>0</v>
      </c>
      <c r="L283" t="s">
        <v>34</v>
      </c>
      <c r="M283" t="s">
        <v>50</v>
      </c>
      <c r="N283" t="s">
        <v>27</v>
      </c>
      <c r="O283">
        <v>16400</v>
      </c>
      <c r="P283">
        <v>0</v>
      </c>
      <c r="Q283">
        <v>16400</v>
      </c>
      <c r="R283">
        <v>2</v>
      </c>
      <c r="S283" s="15">
        <f t="shared" si="4"/>
        <v>45992</v>
      </c>
    </row>
    <row r="284" spans="1:19">
      <c r="A284" t="s">
        <v>360</v>
      </c>
      <c r="B284" s="2">
        <v>45995</v>
      </c>
      <c r="C284" t="s">
        <v>29</v>
      </c>
      <c r="D284" t="s">
        <v>61</v>
      </c>
      <c r="E284" t="s">
        <v>42</v>
      </c>
      <c r="F284" t="s">
        <v>31</v>
      </c>
      <c r="G284" t="s">
        <v>152</v>
      </c>
      <c r="H284" t="s">
        <v>74</v>
      </c>
      <c r="I284">
        <v>2</v>
      </c>
      <c r="J284">
        <v>14960</v>
      </c>
      <c r="K284">
        <v>0.05</v>
      </c>
      <c r="L284" t="s">
        <v>68</v>
      </c>
      <c r="M284" t="s">
        <v>50</v>
      </c>
      <c r="N284" t="s">
        <v>27</v>
      </c>
      <c r="O284">
        <v>29920</v>
      </c>
      <c r="P284">
        <v>1496</v>
      </c>
      <c r="Q284">
        <v>28424</v>
      </c>
      <c r="R284">
        <v>3</v>
      </c>
      <c r="S284" s="15">
        <f t="shared" si="4"/>
        <v>45992</v>
      </c>
    </row>
    <row r="285" spans="1:19">
      <c r="A285" t="s">
        <v>361</v>
      </c>
      <c r="B285" s="2">
        <v>45995</v>
      </c>
      <c r="C285" t="s">
        <v>82</v>
      </c>
      <c r="D285" t="s">
        <v>122</v>
      </c>
      <c r="E285" t="s">
        <v>42</v>
      </c>
      <c r="F285" t="s">
        <v>22</v>
      </c>
      <c r="G285" t="s">
        <v>95</v>
      </c>
      <c r="H285" t="s">
        <v>24</v>
      </c>
      <c r="I285">
        <v>3</v>
      </c>
      <c r="J285">
        <v>23350</v>
      </c>
      <c r="K285">
        <v>0.08</v>
      </c>
      <c r="L285" t="s">
        <v>25</v>
      </c>
      <c r="M285" t="s">
        <v>38</v>
      </c>
      <c r="N285" t="s">
        <v>27</v>
      </c>
      <c r="O285">
        <v>70050</v>
      </c>
      <c r="P285">
        <v>5604</v>
      </c>
      <c r="Q285">
        <v>64446</v>
      </c>
      <c r="R285">
        <v>4</v>
      </c>
      <c r="S285" s="15">
        <f t="shared" si="4"/>
        <v>45992</v>
      </c>
    </row>
    <row r="286" spans="1:19">
      <c r="A286" t="s">
        <v>362</v>
      </c>
      <c r="B286" s="2">
        <v>45996</v>
      </c>
      <c r="C286" t="s">
        <v>40</v>
      </c>
      <c r="D286" t="s">
        <v>89</v>
      </c>
      <c r="E286" t="s">
        <v>70</v>
      </c>
      <c r="F286" t="s">
        <v>31</v>
      </c>
      <c r="G286" t="s">
        <v>23</v>
      </c>
      <c r="H286" t="s">
        <v>24</v>
      </c>
      <c r="I286">
        <v>3</v>
      </c>
      <c r="J286">
        <v>26730</v>
      </c>
      <c r="K286">
        <v>0</v>
      </c>
      <c r="L286" t="s">
        <v>34</v>
      </c>
      <c r="M286" t="s">
        <v>50</v>
      </c>
      <c r="N286" t="s">
        <v>27</v>
      </c>
      <c r="O286">
        <v>80190</v>
      </c>
      <c r="P286">
        <v>0</v>
      </c>
      <c r="Q286">
        <v>80190</v>
      </c>
      <c r="R286">
        <v>6</v>
      </c>
      <c r="S286" s="15">
        <f t="shared" si="4"/>
        <v>45992</v>
      </c>
    </row>
    <row r="287" spans="1:19">
      <c r="A287" t="s">
        <v>363</v>
      </c>
      <c r="B287" s="2">
        <v>45997</v>
      </c>
      <c r="C287" t="s">
        <v>19</v>
      </c>
      <c r="D287" t="s">
        <v>20</v>
      </c>
      <c r="E287" t="s">
        <v>70</v>
      </c>
      <c r="F287" t="s">
        <v>22</v>
      </c>
      <c r="G287" t="s">
        <v>43</v>
      </c>
      <c r="H287" t="s">
        <v>33</v>
      </c>
      <c r="I287">
        <v>1</v>
      </c>
      <c r="J287">
        <v>970</v>
      </c>
      <c r="K287">
        <v>0.08</v>
      </c>
      <c r="L287" t="s">
        <v>34</v>
      </c>
      <c r="M287" t="s">
        <v>26</v>
      </c>
      <c r="N287" t="s">
        <v>27</v>
      </c>
      <c r="O287">
        <v>970</v>
      </c>
      <c r="P287">
        <v>77.599999999999994</v>
      </c>
      <c r="Q287">
        <v>892.4</v>
      </c>
      <c r="R287">
        <v>2</v>
      </c>
      <c r="S287" s="15">
        <f t="shared" si="4"/>
        <v>45992</v>
      </c>
    </row>
    <row r="288" spans="1:19">
      <c r="A288" t="s">
        <v>364</v>
      </c>
      <c r="B288" s="2">
        <v>45998</v>
      </c>
      <c r="C288" t="s">
        <v>19</v>
      </c>
      <c r="D288" t="s">
        <v>20</v>
      </c>
      <c r="E288" t="s">
        <v>21</v>
      </c>
      <c r="F288" t="s">
        <v>22</v>
      </c>
      <c r="G288" t="s">
        <v>23</v>
      </c>
      <c r="H288" t="s">
        <v>24</v>
      </c>
      <c r="I288">
        <v>3</v>
      </c>
      <c r="J288">
        <v>28090</v>
      </c>
      <c r="K288">
        <v>0.05</v>
      </c>
      <c r="L288" t="s">
        <v>64</v>
      </c>
      <c r="M288" t="s">
        <v>55</v>
      </c>
      <c r="N288" t="s">
        <v>27</v>
      </c>
      <c r="O288">
        <v>84270</v>
      </c>
      <c r="P288">
        <v>4213.5</v>
      </c>
      <c r="Q288">
        <v>80056.5</v>
      </c>
      <c r="R288">
        <v>3</v>
      </c>
      <c r="S288" s="15">
        <f t="shared" si="4"/>
        <v>45992</v>
      </c>
    </row>
    <row r="289" spans="1:19">
      <c r="A289" t="s">
        <v>365</v>
      </c>
      <c r="B289" s="2">
        <v>45998</v>
      </c>
      <c r="C289" t="s">
        <v>19</v>
      </c>
      <c r="D289" t="s">
        <v>52</v>
      </c>
      <c r="E289" t="s">
        <v>42</v>
      </c>
      <c r="F289" t="s">
        <v>31</v>
      </c>
      <c r="G289" t="s">
        <v>58</v>
      </c>
      <c r="H289" t="s">
        <v>59</v>
      </c>
      <c r="I289">
        <v>5</v>
      </c>
      <c r="J289">
        <v>7410</v>
      </c>
      <c r="K289">
        <v>0.03</v>
      </c>
      <c r="L289" t="s">
        <v>68</v>
      </c>
      <c r="M289" t="s">
        <v>26</v>
      </c>
      <c r="N289" t="s">
        <v>27</v>
      </c>
      <c r="O289">
        <v>37050</v>
      </c>
      <c r="P289">
        <v>1111.5</v>
      </c>
      <c r="Q289">
        <v>35938.5</v>
      </c>
      <c r="R289">
        <v>2</v>
      </c>
      <c r="S289" s="15">
        <f t="shared" si="4"/>
        <v>45992</v>
      </c>
    </row>
    <row r="290" spans="1:19">
      <c r="A290" t="s">
        <v>366</v>
      </c>
      <c r="B290" s="2">
        <v>45998</v>
      </c>
      <c r="C290" t="s">
        <v>40</v>
      </c>
      <c r="D290" t="s">
        <v>47</v>
      </c>
      <c r="E290" t="s">
        <v>42</v>
      </c>
      <c r="F290" t="s">
        <v>22</v>
      </c>
      <c r="G290" t="s">
        <v>58</v>
      </c>
      <c r="H290" t="s">
        <v>59</v>
      </c>
      <c r="I290">
        <v>5</v>
      </c>
      <c r="J290">
        <v>6880</v>
      </c>
      <c r="K290">
        <v>0.1</v>
      </c>
      <c r="L290" t="s">
        <v>64</v>
      </c>
      <c r="M290" t="s">
        <v>55</v>
      </c>
      <c r="N290" t="s">
        <v>27</v>
      </c>
      <c r="O290">
        <v>34400</v>
      </c>
      <c r="P290">
        <v>3440</v>
      </c>
      <c r="Q290">
        <v>30960</v>
      </c>
      <c r="R290">
        <v>4</v>
      </c>
      <c r="S290" s="15">
        <f t="shared" si="4"/>
        <v>45992</v>
      </c>
    </row>
    <row r="291" spans="1:19">
      <c r="A291" t="s">
        <v>367</v>
      </c>
      <c r="B291" s="2">
        <v>45999</v>
      </c>
      <c r="C291" t="s">
        <v>29</v>
      </c>
      <c r="D291" t="s">
        <v>78</v>
      </c>
      <c r="E291" t="s">
        <v>21</v>
      </c>
      <c r="F291" t="s">
        <v>53</v>
      </c>
      <c r="G291" t="s">
        <v>149</v>
      </c>
      <c r="H291" t="s">
        <v>33</v>
      </c>
      <c r="I291">
        <v>4</v>
      </c>
      <c r="J291">
        <v>3640</v>
      </c>
      <c r="K291">
        <v>0.03</v>
      </c>
      <c r="L291" t="s">
        <v>68</v>
      </c>
      <c r="M291" t="s">
        <v>26</v>
      </c>
      <c r="N291" t="s">
        <v>27</v>
      </c>
      <c r="O291">
        <v>14560</v>
      </c>
      <c r="P291">
        <v>436.8</v>
      </c>
      <c r="Q291">
        <v>14123.2</v>
      </c>
      <c r="R291">
        <v>2</v>
      </c>
      <c r="S291" s="15">
        <f t="shared" si="4"/>
        <v>45992</v>
      </c>
    </row>
    <row r="292" spans="1:19">
      <c r="A292" t="s">
        <v>368</v>
      </c>
      <c r="B292" s="2">
        <v>45999</v>
      </c>
      <c r="C292" t="s">
        <v>29</v>
      </c>
      <c r="D292" t="s">
        <v>61</v>
      </c>
      <c r="E292" t="s">
        <v>70</v>
      </c>
      <c r="F292" t="s">
        <v>22</v>
      </c>
      <c r="G292" t="s">
        <v>73</v>
      </c>
      <c r="H292" t="s">
        <v>74</v>
      </c>
      <c r="I292">
        <v>3</v>
      </c>
      <c r="J292">
        <v>10730</v>
      </c>
      <c r="K292">
        <v>0.05</v>
      </c>
      <c r="L292" t="s">
        <v>64</v>
      </c>
      <c r="M292" t="s">
        <v>35</v>
      </c>
      <c r="N292" t="s">
        <v>27</v>
      </c>
      <c r="O292">
        <v>32190</v>
      </c>
      <c r="P292">
        <v>1609.5</v>
      </c>
      <c r="Q292">
        <v>30580.5</v>
      </c>
      <c r="R292">
        <v>1</v>
      </c>
      <c r="S292" s="15">
        <f t="shared" si="4"/>
        <v>45992</v>
      </c>
    </row>
    <row r="293" spans="1:19">
      <c r="A293" t="s">
        <v>369</v>
      </c>
      <c r="B293" s="2">
        <v>45999</v>
      </c>
      <c r="C293" t="s">
        <v>19</v>
      </c>
      <c r="D293" t="s">
        <v>52</v>
      </c>
      <c r="E293" t="s">
        <v>21</v>
      </c>
      <c r="F293" t="s">
        <v>22</v>
      </c>
      <c r="G293" t="s">
        <v>73</v>
      </c>
      <c r="H293" t="s">
        <v>74</v>
      </c>
      <c r="I293">
        <v>4</v>
      </c>
      <c r="J293">
        <v>11750</v>
      </c>
      <c r="K293">
        <v>0</v>
      </c>
      <c r="L293" t="s">
        <v>64</v>
      </c>
      <c r="M293" t="s">
        <v>50</v>
      </c>
      <c r="N293" t="s">
        <v>27</v>
      </c>
      <c r="O293">
        <v>47000</v>
      </c>
      <c r="P293">
        <v>0</v>
      </c>
      <c r="Q293">
        <v>47000</v>
      </c>
      <c r="R293">
        <v>4</v>
      </c>
      <c r="S293" s="15">
        <f t="shared" si="4"/>
        <v>45992</v>
      </c>
    </row>
    <row r="294" spans="1:19">
      <c r="A294" t="s">
        <v>370</v>
      </c>
      <c r="B294" s="2">
        <v>46001</v>
      </c>
      <c r="C294" t="s">
        <v>29</v>
      </c>
      <c r="D294" t="s">
        <v>78</v>
      </c>
      <c r="E294" t="s">
        <v>21</v>
      </c>
      <c r="F294" t="s">
        <v>22</v>
      </c>
      <c r="G294" t="s">
        <v>32</v>
      </c>
      <c r="H294" t="s">
        <v>33</v>
      </c>
      <c r="I294">
        <v>5</v>
      </c>
      <c r="J294">
        <v>2290</v>
      </c>
      <c r="K294">
        <v>0.1</v>
      </c>
      <c r="L294" t="s">
        <v>68</v>
      </c>
      <c r="M294" t="s">
        <v>26</v>
      </c>
      <c r="N294" t="s">
        <v>27</v>
      </c>
      <c r="O294">
        <v>11450</v>
      </c>
      <c r="P294">
        <v>1145</v>
      </c>
      <c r="Q294">
        <v>10305</v>
      </c>
      <c r="R294">
        <v>4</v>
      </c>
      <c r="S294" s="15">
        <f t="shared" si="4"/>
        <v>45992</v>
      </c>
    </row>
    <row r="295" spans="1:19">
      <c r="A295" t="s">
        <v>371</v>
      </c>
      <c r="B295" s="2">
        <v>46001</v>
      </c>
      <c r="C295" t="s">
        <v>82</v>
      </c>
      <c r="D295" t="s">
        <v>122</v>
      </c>
      <c r="E295" t="s">
        <v>70</v>
      </c>
      <c r="F295" t="s">
        <v>31</v>
      </c>
      <c r="G295" t="s">
        <v>58</v>
      </c>
      <c r="H295" t="s">
        <v>59</v>
      </c>
      <c r="I295">
        <v>3</v>
      </c>
      <c r="J295">
        <v>7210</v>
      </c>
      <c r="K295">
        <v>0.03</v>
      </c>
      <c r="L295" t="s">
        <v>25</v>
      </c>
      <c r="M295" t="s">
        <v>26</v>
      </c>
      <c r="N295" t="s">
        <v>27</v>
      </c>
      <c r="O295">
        <v>21630</v>
      </c>
      <c r="P295">
        <v>648.9</v>
      </c>
      <c r="Q295">
        <v>20981.1</v>
      </c>
      <c r="R295">
        <v>6</v>
      </c>
      <c r="S295" s="15">
        <f>DATE(YEAR(B295),MONTH(B295),1)</f>
        <v>45992</v>
      </c>
    </row>
    <row r="296" spans="1:19">
      <c r="A296" t="s">
        <v>372</v>
      </c>
      <c r="B296" s="2">
        <v>46001</v>
      </c>
      <c r="C296" t="s">
        <v>19</v>
      </c>
      <c r="D296" t="s">
        <v>103</v>
      </c>
      <c r="E296" t="s">
        <v>42</v>
      </c>
      <c r="F296" t="s">
        <v>22</v>
      </c>
      <c r="G296" t="s">
        <v>73</v>
      </c>
      <c r="H296" t="s">
        <v>74</v>
      </c>
      <c r="I296">
        <v>2</v>
      </c>
      <c r="J296">
        <v>10860</v>
      </c>
      <c r="K296">
        <v>0.03</v>
      </c>
      <c r="L296" t="s">
        <v>34</v>
      </c>
      <c r="M296" t="s">
        <v>50</v>
      </c>
      <c r="N296" t="s">
        <v>27</v>
      </c>
      <c r="O296">
        <v>21720</v>
      </c>
      <c r="P296">
        <v>651.6</v>
      </c>
      <c r="Q296">
        <v>21068.400000000001</v>
      </c>
      <c r="R296">
        <v>3</v>
      </c>
      <c r="S296" s="15">
        <f t="shared" si="4"/>
        <v>45992</v>
      </c>
    </row>
    <row r="297" spans="1:19">
      <c r="A297" t="s">
        <v>373</v>
      </c>
      <c r="B297" s="2">
        <v>46001</v>
      </c>
      <c r="C297" t="s">
        <v>29</v>
      </c>
      <c r="D297" t="s">
        <v>30</v>
      </c>
      <c r="E297" t="s">
        <v>70</v>
      </c>
      <c r="F297" t="s">
        <v>22</v>
      </c>
      <c r="G297" t="s">
        <v>58</v>
      </c>
      <c r="H297" t="s">
        <v>59</v>
      </c>
      <c r="I297">
        <v>1</v>
      </c>
      <c r="J297">
        <v>6720</v>
      </c>
      <c r="K297">
        <v>0.05</v>
      </c>
      <c r="L297" t="s">
        <v>34</v>
      </c>
      <c r="M297" t="s">
        <v>66</v>
      </c>
      <c r="N297" t="s">
        <v>27</v>
      </c>
      <c r="O297">
        <v>6720</v>
      </c>
      <c r="P297">
        <v>336</v>
      </c>
      <c r="Q297">
        <v>6384</v>
      </c>
      <c r="R297">
        <v>4</v>
      </c>
      <c r="S297" s="15">
        <f t="shared" si="4"/>
        <v>45992</v>
      </c>
    </row>
    <row r="298" spans="1:19">
      <c r="A298" t="s">
        <v>374</v>
      </c>
      <c r="B298" s="2">
        <v>46002</v>
      </c>
      <c r="C298" t="s">
        <v>29</v>
      </c>
      <c r="D298" t="s">
        <v>78</v>
      </c>
      <c r="E298" t="s">
        <v>21</v>
      </c>
      <c r="F298" t="s">
        <v>31</v>
      </c>
      <c r="G298" t="s">
        <v>43</v>
      </c>
      <c r="H298" t="s">
        <v>33</v>
      </c>
      <c r="I298">
        <v>4</v>
      </c>
      <c r="J298">
        <v>950</v>
      </c>
      <c r="K298">
        <v>0.1</v>
      </c>
      <c r="L298" t="s">
        <v>25</v>
      </c>
      <c r="M298" t="s">
        <v>71</v>
      </c>
      <c r="N298" t="s">
        <v>27</v>
      </c>
      <c r="O298">
        <v>3800</v>
      </c>
      <c r="P298">
        <v>380</v>
      </c>
      <c r="Q298">
        <v>3420</v>
      </c>
      <c r="R298">
        <v>3</v>
      </c>
      <c r="S298" s="15">
        <f t="shared" si="4"/>
        <v>45992</v>
      </c>
    </row>
    <row r="299" spans="1:19">
      <c r="A299" t="s">
        <v>375</v>
      </c>
      <c r="B299" s="2">
        <v>46004</v>
      </c>
      <c r="C299" t="s">
        <v>29</v>
      </c>
      <c r="D299" t="s">
        <v>61</v>
      </c>
      <c r="E299" t="s">
        <v>21</v>
      </c>
      <c r="F299" t="s">
        <v>31</v>
      </c>
      <c r="G299" t="s">
        <v>105</v>
      </c>
      <c r="H299" t="s">
        <v>24</v>
      </c>
      <c r="I299">
        <v>1</v>
      </c>
      <c r="J299">
        <v>3350</v>
      </c>
      <c r="K299">
        <v>0.03</v>
      </c>
      <c r="L299" t="s">
        <v>64</v>
      </c>
      <c r="M299" t="s">
        <v>71</v>
      </c>
      <c r="N299" t="s">
        <v>27</v>
      </c>
      <c r="O299">
        <v>3350</v>
      </c>
      <c r="P299">
        <v>100.5</v>
      </c>
      <c r="Q299">
        <v>3249.5</v>
      </c>
      <c r="R299">
        <v>2</v>
      </c>
      <c r="S299" s="15">
        <f t="shared" si="4"/>
        <v>45992</v>
      </c>
    </row>
    <row r="300" spans="1:19">
      <c r="A300" t="s">
        <v>376</v>
      </c>
      <c r="B300" s="2">
        <v>46004</v>
      </c>
      <c r="C300" t="s">
        <v>40</v>
      </c>
      <c r="D300" t="s">
        <v>115</v>
      </c>
      <c r="E300" t="s">
        <v>21</v>
      </c>
      <c r="F300" t="s">
        <v>31</v>
      </c>
      <c r="G300" t="s">
        <v>105</v>
      </c>
      <c r="H300" t="s">
        <v>24</v>
      </c>
      <c r="I300">
        <v>3</v>
      </c>
      <c r="J300">
        <v>3070</v>
      </c>
      <c r="K300">
        <v>0.15</v>
      </c>
      <c r="L300" t="s">
        <v>64</v>
      </c>
      <c r="M300" t="s">
        <v>50</v>
      </c>
      <c r="N300" t="s">
        <v>27</v>
      </c>
      <c r="O300">
        <v>9210</v>
      </c>
      <c r="P300">
        <v>1381.5</v>
      </c>
      <c r="Q300">
        <v>7828.5</v>
      </c>
      <c r="R300">
        <v>1</v>
      </c>
      <c r="S300" s="15">
        <f t="shared" si="4"/>
        <v>45992</v>
      </c>
    </row>
    <row r="301" spans="1:19">
      <c r="A301" t="s">
        <v>377</v>
      </c>
      <c r="B301" s="2">
        <v>46005</v>
      </c>
      <c r="C301" t="s">
        <v>40</v>
      </c>
      <c r="D301" t="s">
        <v>115</v>
      </c>
      <c r="E301" t="s">
        <v>42</v>
      </c>
      <c r="F301" t="s">
        <v>22</v>
      </c>
      <c r="G301" t="s">
        <v>152</v>
      </c>
      <c r="H301" t="s">
        <v>74</v>
      </c>
      <c r="I301">
        <v>3</v>
      </c>
      <c r="J301">
        <v>14370</v>
      </c>
      <c r="K301">
        <v>0</v>
      </c>
      <c r="L301" t="s">
        <v>54</v>
      </c>
      <c r="M301" t="s">
        <v>38</v>
      </c>
      <c r="N301" t="s">
        <v>27</v>
      </c>
      <c r="O301">
        <v>43110</v>
      </c>
      <c r="P301">
        <v>0</v>
      </c>
      <c r="Q301">
        <v>43110</v>
      </c>
      <c r="R301">
        <v>4</v>
      </c>
      <c r="S301" s="15">
        <f t="shared" si="4"/>
        <v>45992</v>
      </c>
    </row>
    <row r="302" spans="1:19">
      <c r="A302" t="s">
        <v>378</v>
      </c>
      <c r="B302" s="2">
        <v>46006</v>
      </c>
      <c r="C302" t="s">
        <v>19</v>
      </c>
      <c r="D302" t="s">
        <v>103</v>
      </c>
      <c r="E302" t="s">
        <v>42</v>
      </c>
      <c r="F302" t="s">
        <v>22</v>
      </c>
      <c r="G302" t="s">
        <v>23</v>
      </c>
      <c r="H302" t="s">
        <v>24</v>
      </c>
      <c r="I302">
        <v>4</v>
      </c>
      <c r="J302">
        <v>27120</v>
      </c>
      <c r="K302">
        <v>0</v>
      </c>
      <c r="L302" t="s">
        <v>64</v>
      </c>
      <c r="M302" t="s">
        <v>38</v>
      </c>
      <c r="N302" t="s">
        <v>27</v>
      </c>
      <c r="O302">
        <v>108480</v>
      </c>
      <c r="P302">
        <v>0</v>
      </c>
      <c r="Q302">
        <v>108480</v>
      </c>
      <c r="R302">
        <v>2</v>
      </c>
      <c r="S302" s="15">
        <f t="shared" si="4"/>
        <v>45992</v>
      </c>
    </row>
    <row r="303" spans="1:19">
      <c r="A303" t="s">
        <v>379</v>
      </c>
      <c r="B303" s="2">
        <v>46007</v>
      </c>
      <c r="C303" t="s">
        <v>40</v>
      </c>
      <c r="D303" t="s">
        <v>115</v>
      </c>
      <c r="E303" t="s">
        <v>21</v>
      </c>
      <c r="F303" t="s">
        <v>22</v>
      </c>
      <c r="G303" t="s">
        <v>105</v>
      </c>
      <c r="H303" t="s">
        <v>24</v>
      </c>
      <c r="I303">
        <v>2</v>
      </c>
      <c r="J303">
        <v>3320</v>
      </c>
      <c r="K303">
        <v>0</v>
      </c>
      <c r="L303" t="s">
        <v>25</v>
      </c>
      <c r="M303" t="s">
        <v>71</v>
      </c>
      <c r="N303" t="s">
        <v>27</v>
      </c>
      <c r="O303">
        <v>6640</v>
      </c>
      <c r="P303">
        <v>0</v>
      </c>
      <c r="Q303">
        <v>6640</v>
      </c>
      <c r="R303">
        <v>2</v>
      </c>
      <c r="S303" s="15">
        <f t="shared" si="4"/>
        <v>45992</v>
      </c>
    </row>
    <row r="304" spans="1:19">
      <c r="A304" t="s">
        <v>380</v>
      </c>
      <c r="B304" s="2">
        <v>46007</v>
      </c>
      <c r="C304" t="s">
        <v>40</v>
      </c>
      <c r="D304" t="s">
        <v>89</v>
      </c>
      <c r="E304" t="s">
        <v>42</v>
      </c>
      <c r="F304" t="s">
        <v>22</v>
      </c>
      <c r="G304" t="s">
        <v>105</v>
      </c>
      <c r="H304" t="s">
        <v>24</v>
      </c>
      <c r="I304">
        <v>1</v>
      </c>
      <c r="J304">
        <v>3200</v>
      </c>
      <c r="K304">
        <v>0.05</v>
      </c>
      <c r="L304" t="s">
        <v>25</v>
      </c>
      <c r="M304" t="s">
        <v>66</v>
      </c>
      <c r="N304" t="s">
        <v>27</v>
      </c>
      <c r="O304">
        <v>3200</v>
      </c>
      <c r="P304">
        <v>160</v>
      </c>
      <c r="Q304">
        <v>3040</v>
      </c>
      <c r="R304">
        <v>6</v>
      </c>
      <c r="S304" s="15">
        <f t="shared" si="4"/>
        <v>45992</v>
      </c>
    </row>
    <row r="305" spans="1:19">
      <c r="A305" t="s">
        <v>381</v>
      </c>
      <c r="B305" s="2">
        <v>46007</v>
      </c>
      <c r="C305" t="s">
        <v>40</v>
      </c>
      <c r="D305" t="s">
        <v>89</v>
      </c>
      <c r="E305" t="s">
        <v>42</v>
      </c>
      <c r="F305" t="s">
        <v>22</v>
      </c>
      <c r="G305" t="s">
        <v>92</v>
      </c>
      <c r="H305" t="s">
        <v>24</v>
      </c>
      <c r="I305">
        <v>1</v>
      </c>
      <c r="J305">
        <v>16080</v>
      </c>
      <c r="K305">
        <v>0</v>
      </c>
      <c r="L305" t="s">
        <v>64</v>
      </c>
      <c r="M305" t="s">
        <v>26</v>
      </c>
      <c r="N305" t="s">
        <v>27</v>
      </c>
      <c r="O305">
        <v>16080</v>
      </c>
      <c r="P305">
        <v>0</v>
      </c>
      <c r="Q305">
        <v>16080</v>
      </c>
      <c r="R305">
        <v>1</v>
      </c>
      <c r="S305" s="15">
        <f t="shared" si="4"/>
        <v>45992</v>
      </c>
    </row>
    <row r="306" spans="1:19">
      <c r="A306" t="s">
        <v>382</v>
      </c>
      <c r="B306" s="2">
        <v>46007</v>
      </c>
      <c r="C306" t="s">
        <v>29</v>
      </c>
      <c r="D306" t="s">
        <v>78</v>
      </c>
      <c r="E306" t="s">
        <v>70</v>
      </c>
      <c r="F306" t="s">
        <v>53</v>
      </c>
      <c r="G306" t="s">
        <v>152</v>
      </c>
      <c r="H306" t="s">
        <v>74</v>
      </c>
      <c r="I306">
        <v>3</v>
      </c>
      <c r="J306">
        <v>14990</v>
      </c>
      <c r="K306">
        <v>0.08</v>
      </c>
      <c r="L306" t="s">
        <v>25</v>
      </c>
      <c r="M306" t="s">
        <v>50</v>
      </c>
      <c r="N306" t="s">
        <v>27</v>
      </c>
      <c r="O306">
        <v>44970</v>
      </c>
      <c r="P306">
        <v>3597.6</v>
      </c>
      <c r="Q306">
        <v>41372.400000000001</v>
      </c>
      <c r="R306">
        <v>4</v>
      </c>
      <c r="S306" s="15">
        <f t="shared" si="4"/>
        <v>45992</v>
      </c>
    </row>
    <row r="307" spans="1:19">
      <c r="A307" t="s">
        <v>383</v>
      </c>
      <c r="B307" s="2">
        <v>46008</v>
      </c>
      <c r="C307" t="s">
        <v>82</v>
      </c>
      <c r="D307" t="s">
        <v>178</v>
      </c>
      <c r="E307" t="s">
        <v>21</v>
      </c>
      <c r="F307" t="s">
        <v>53</v>
      </c>
      <c r="G307" t="s">
        <v>62</v>
      </c>
      <c r="H307" t="s">
        <v>33</v>
      </c>
      <c r="I307">
        <v>3</v>
      </c>
      <c r="J307">
        <v>1860</v>
      </c>
      <c r="K307">
        <v>0.05</v>
      </c>
      <c r="L307" t="s">
        <v>34</v>
      </c>
      <c r="M307" t="s">
        <v>38</v>
      </c>
      <c r="N307" t="s">
        <v>27</v>
      </c>
      <c r="O307">
        <v>5580</v>
      </c>
      <c r="P307">
        <v>279</v>
      </c>
      <c r="Q307">
        <v>5301</v>
      </c>
      <c r="R307">
        <v>4</v>
      </c>
      <c r="S307" s="15">
        <f t="shared" si="4"/>
        <v>45992</v>
      </c>
    </row>
    <row r="308" spans="1:19">
      <c r="A308" t="s">
        <v>384</v>
      </c>
      <c r="B308" s="2">
        <v>46009</v>
      </c>
      <c r="C308" t="s">
        <v>19</v>
      </c>
      <c r="D308" t="s">
        <v>103</v>
      </c>
      <c r="E308" t="s">
        <v>21</v>
      </c>
      <c r="F308" t="s">
        <v>31</v>
      </c>
      <c r="G308" t="s">
        <v>58</v>
      </c>
      <c r="H308" t="s">
        <v>59</v>
      </c>
      <c r="I308">
        <v>1</v>
      </c>
      <c r="J308">
        <v>7480</v>
      </c>
      <c r="K308">
        <v>0.08</v>
      </c>
      <c r="L308" t="s">
        <v>54</v>
      </c>
      <c r="M308" t="s">
        <v>66</v>
      </c>
      <c r="N308" t="s">
        <v>130</v>
      </c>
      <c r="O308">
        <v>7480</v>
      </c>
      <c r="P308">
        <v>598.4</v>
      </c>
      <c r="Q308">
        <v>6881.6</v>
      </c>
      <c r="R308">
        <v>4</v>
      </c>
      <c r="S308" s="15">
        <f t="shared" si="4"/>
        <v>45992</v>
      </c>
    </row>
    <row r="309" spans="1:19">
      <c r="A309" t="s">
        <v>385</v>
      </c>
      <c r="B309" s="2">
        <v>46009</v>
      </c>
      <c r="C309" t="s">
        <v>29</v>
      </c>
      <c r="D309" t="s">
        <v>30</v>
      </c>
      <c r="E309" t="s">
        <v>21</v>
      </c>
      <c r="F309" t="s">
        <v>53</v>
      </c>
      <c r="G309" t="s">
        <v>62</v>
      </c>
      <c r="H309" t="s">
        <v>33</v>
      </c>
      <c r="I309">
        <v>4</v>
      </c>
      <c r="J309">
        <v>1750</v>
      </c>
      <c r="K309">
        <v>0.1</v>
      </c>
      <c r="L309" t="s">
        <v>68</v>
      </c>
      <c r="M309" t="s">
        <v>50</v>
      </c>
      <c r="N309" t="s">
        <v>27</v>
      </c>
      <c r="O309">
        <v>7000</v>
      </c>
      <c r="P309">
        <v>700</v>
      </c>
      <c r="Q309">
        <v>6300</v>
      </c>
      <c r="R309">
        <v>5</v>
      </c>
      <c r="S309" s="15">
        <f t="shared" si="4"/>
        <v>45992</v>
      </c>
    </row>
    <row r="310" spans="1:19">
      <c r="A310" t="s">
        <v>386</v>
      </c>
      <c r="B310" s="2">
        <v>46010</v>
      </c>
      <c r="C310" t="s">
        <v>29</v>
      </c>
      <c r="D310" t="s">
        <v>85</v>
      </c>
      <c r="E310" t="s">
        <v>42</v>
      </c>
      <c r="F310" t="s">
        <v>22</v>
      </c>
      <c r="G310" t="s">
        <v>37</v>
      </c>
      <c r="H310" t="s">
        <v>24</v>
      </c>
      <c r="I310">
        <v>2</v>
      </c>
      <c r="J310">
        <v>62470</v>
      </c>
      <c r="K310">
        <v>0.15</v>
      </c>
      <c r="L310" t="s">
        <v>54</v>
      </c>
      <c r="M310" t="s">
        <v>26</v>
      </c>
      <c r="N310" t="s">
        <v>27</v>
      </c>
      <c r="O310">
        <v>124940</v>
      </c>
      <c r="P310">
        <v>18741</v>
      </c>
      <c r="Q310">
        <v>106199</v>
      </c>
      <c r="R310">
        <v>5</v>
      </c>
      <c r="S310" s="15">
        <f t="shared" si="4"/>
        <v>45992</v>
      </c>
    </row>
    <row r="311" spans="1:19">
      <c r="A311" t="s">
        <v>387</v>
      </c>
      <c r="B311" s="2">
        <v>46010</v>
      </c>
      <c r="C311" t="s">
        <v>29</v>
      </c>
      <c r="D311" t="s">
        <v>85</v>
      </c>
      <c r="E311" t="s">
        <v>21</v>
      </c>
      <c r="F311" t="s">
        <v>22</v>
      </c>
      <c r="G311" t="s">
        <v>105</v>
      </c>
      <c r="H311" t="s">
        <v>24</v>
      </c>
      <c r="I311">
        <v>4</v>
      </c>
      <c r="J311">
        <v>3340</v>
      </c>
      <c r="K311">
        <v>0.05</v>
      </c>
      <c r="L311" t="s">
        <v>64</v>
      </c>
      <c r="M311" t="s">
        <v>26</v>
      </c>
      <c r="N311" t="s">
        <v>27</v>
      </c>
      <c r="O311">
        <v>13360</v>
      </c>
      <c r="P311">
        <v>668</v>
      </c>
      <c r="Q311">
        <v>12692</v>
      </c>
      <c r="R311">
        <v>1</v>
      </c>
      <c r="S311" s="15">
        <f t="shared" si="4"/>
        <v>45992</v>
      </c>
    </row>
    <row r="312" spans="1:19">
      <c r="A312" t="s">
        <v>388</v>
      </c>
      <c r="B312" s="2">
        <v>46010</v>
      </c>
      <c r="C312" t="s">
        <v>40</v>
      </c>
      <c r="D312" t="s">
        <v>89</v>
      </c>
      <c r="E312" t="s">
        <v>70</v>
      </c>
      <c r="F312" t="s">
        <v>31</v>
      </c>
      <c r="G312" t="s">
        <v>37</v>
      </c>
      <c r="H312" t="s">
        <v>24</v>
      </c>
      <c r="I312">
        <v>3</v>
      </c>
      <c r="J312">
        <v>65000</v>
      </c>
      <c r="K312">
        <v>0.08</v>
      </c>
      <c r="L312" t="s">
        <v>68</v>
      </c>
      <c r="M312" t="s">
        <v>66</v>
      </c>
      <c r="N312" t="s">
        <v>27</v>
      </c>
      <c r="O312">
        <v>195000</v>
      </c>
      <c r="P312">
        <v>15600</v>
      </c>
      <c r="Q312">
        <v>179400</v>
      </c>
      <c r="R312">
        <v>3</v>
      </c>
      <c r="S312" s="15">
        <f t="shared" si="4"/>
        <v>45992</v>
      </c>
    </row>
    <row r="313" spans="1:19">
      <c r="A313" t="s">
        <v>389</v>
      </c>
      <c r="B313" s="2">
        <v>46010</v>
      </c>
      <c r="C313" t="s">
        <v>40</v>
      </c>
      <c r="D313" t="s">
        <v>115</v>
      </c>
      <c r="E313" t="s">
        <v>21</v>
      </c>
      <c r="F313" t="s">
        <v>31</v>
      </c>
      <c r="G313" t="s">
        <v>152</v>
      </c>
      <c r="H313" t="s">
        <v>74</v>
      </c>
      <c r="I313">
        <v>1</v>
      </c>
      <c r="J313">
        <v>14730</v>
      </c>
      <c r="K313">
        <v>0.05</v>
      </c>
      <c r="L313" t="s">
        <v>64</v>
      </c>
      <c r="M313" t="s">
        <v>44</v>
      </c>
      <c r="N313" t="s">
        <v>45</v>
      </c>
      <c r="O313">
        <v>0</v>
      </c>
      <c r="P313">
        <v>0</v>
      </c>
      <c r="Q313">
        <v>0</v>
      </c>
      <c r="S313" s="15">
        <f t="shared" si="4"/>
        <v>45992</v>
      </c>
    </row>
    <row r="314" spans="1:19">
      <c r="A314" t="s">
        <v>390</v>
      </c>
      <c r="B314" s="2">
        <v>46013</v>
      </c>
      <c r="C314" t="s">
        <v>29</v>
      </c>
      <c r="D314" t="s">
        <v>30</v>
      </c>
      <c r="E314" t="s">
        <v>21</v>
      </c>
      <c r="F314" t="s">
        <v>22</v>
      </c>
      <c r="G314" t="s">
        <v>62</v>
      </c>
      <c r="H314" t="s">
        <v>33</v>
      </c>
      <c r="I314">
        <v>3</v>
      </c>
      <c r="J314">
        <v>1750</v>
      </c>
      <c r="K314">
        <v>0</v>
      </c>
      <c r="L314" t="s">
        <v>68</v>
      </c>
      <c r="M314" t="s">
        <v>44</v>
      </c>
      <c r="N314" t="s">
        <v>27</v>
      </c>
      <c r="O314">
        <v>5250</v>
      </c>
      <c r="P314">
        <v>0</v>
      </c>
      <c r="Q314">
        <v>5250</v>
      </c>
      <c r="R314">
        <v>2</v>
      </c>
      <c r="S314" s="15">
        <f t="shared" si="4"/>
        <v>45992</v>
      </c>
    </row>
    <row r="315" spans="1:19">
      <c r="A315" t="s">
        <v>391</v>
      </c>
      <c r="B315" s="2">
        <v>46013</v>
      </c>
      <c r="C315" t="s">
        <v>29</v>
      </c>
      <c r="D315" t="s">
        <v>30</v>
      </c>
      <c r="E315" t="s">
        <v>42</v>
      </c>
      <c r="F315" t="s">
        <v>22</v>
      </c>
      <c r="G315" t="s">
        <v>37</v>
      </c>
      <c r="H315" t="s">
        <v>24</v>
      </c>
      <c r="I315">
        <v>2</v>
      </c>
      <c r="J315">
        <v>63960</v>
      </c>
      <c r="K315">
        <v>0</v>
      </c>
      <c r="L315" t="s">
        <v>68</v>
      </c>
      <c r="M315" t="s">
        <v>66</v>
      </c>
      <c r="N315" t="s">
        <v>27</v>
      </c>
      <c r="O315">
        <v>127920</v>
      </c>
      <c r="P315">
        <v>0</v>
      </c>
      <c r="Q315">
        <v>127920</v>
      </c>
      <c r="R315">
        <v>3</v>
      </c>
      <c r="S315" s="15">
        <f t="shared" si="4"/>
        <v>45992</v>
      </c>
    </row>
    <row r="316" spans="1:19">
      <c r="A316" t="s">
        <v>392</v>
      </c>
      <c r="B316" s="2">
        <v>46014</v>
      </c>
      <c r="C316" t="s">
        <v>40</v>
      </c>
      <c r="D316" t="s">
        <v>47</v>
      </c>
      <c r="E316" t="s">
        <v>42</v>
      </c>
      <c r="F316" t="s">
        <v>22</v>
      </c>
      <c r="G316" t="s">
        <v>105</v>
      </c>
      <c r="H316" t="s">
        <v>24</v>
      </c>
      <c r="I316">
        <v>5</v>
      </c>
      <c r="J316">
        <v>3330</v>
      </c>
      <c r="K316">
        <v>0.05</v>
      </c>
      <c r="L316" t="s">
        <v>34</v>
      </c>
      <c r="M316" t="s">
        <v>44</v>
      </c>
      <c r="N316" t="s">
        <v>27</v>
      </c>
      <c r="O316">
        <v>16650</v>
      </c>
      <c r="P316">
        <v>832.5</v>
      </c>
      <c r="Q316">
        <v>15817.5</v>
      </c>
      <c r="R316">
        <v>6</v>
      </c>
      <c r="S316" s="15">
        <f t="shared" si="4"/>
        <v>45992</v>
      </c>
    </row>
    <row r="317" spans="1:19">
      <c r="A317" t="s">
        <v>393</v>
      </c>
      <c r="B317" s="2">
        <v>46017</v>
      </c>
      <c r="C317" t="s">
        <v>82</v>
      </c>
      <c r="D317" t="s">
        <v>178</v>
      </c>
      <c r="E317" t="s">
        <v>21</v>
      </c>
      <c r="F317" t="s">
        <v>22</v>
      </c>
      <c r="G317" t="s">
        <v>37</v>
      </c>
      <c r="H317" t="s">
        <v>24</v>
      </c>
      <c r="I317">
        <v>1</v>
      </c>
      <c r="J317">
        <v>65190</v>
      </c>
      <c r="K317">
        <v>0</v>
      </c>
      <c r="L317" t="s">
        <v>54</v>
      </c>
      <c r="M317" t="s">
        <v>50</v>
      </c>
      <c r="N317" t="s">
        <v>27</v>
      </c>
      <c r="O317">
        <v>65190</v>
      </c>
      <c r="P317">
        <v>0</v>
      </c>
      <c r="Q317">
        <v>65190</v>
      </c>
      <c r="R317">
        <v>3</v>
      </c>
      <c r="S317" s="15">
        <f t="shared" si="4"/>
        <v>45992</v>
      </c>
    </row>
    <row r="318" spans="1:19">
      <c r="A318" t="s">
        <v>394</v>
      </c>
      <c r="B318" s="2">
        <v>46017</v>
      </c>
      <c r="C318" t="s">
        <v>40</v>
      </c>
      <c r="D318" t="s">
        <v>41</v>
      </c>
      <c r="E318" t="s">
        <v>42</v>
      </c>
      <c r="F318" t="s">
        <v>31</v>
      </c>
      <c r="G318" t="s">
        <v>32</v>
      </c>
      <c r="H318" t="s">
        <v>33</v>
      </c>
      <c r="I318">
        <v>2</v>
      </c>
      <c r="J318">
        <v>2450</v>
      </c>
      <c r="K318">
        <v>0.03</v>
      </c>
      <c r="L318" t="s">
        <v>68</v>
      </c>
      <c r="M318" t="s">
        <v>50</v>
      </c>
      <c r="N318" t="s">
        <v>27</v>
      </c>
      <c r="O318">
        <v>4900</v>
      </c>
      <c r="P318">
        <v>147</v>
      </c>
      <c r="Q318">
        <v>4753</v>
      </c>
      <c r="R318">
        <v>3</v>
      </c>
      <c r="S318" s="15">
        <f t="shared" si="4"/>
        <v>45992</v>
      </c>
    </row>
    <row r="319" spans="1:19">
      <c r="A319" t="s">
        <v>395</v>
      </c>
      <c r="B319" s="2">
        <v>46017</v>
      </c>
      <c r="C319" t="s">
        <v>40</v>
      </c>
      <c r="D319" t="s">
        <v>89</v>
      </c>
      <c r="E319" t="s">
        <v>42</v>
      </c>
      <c r="F319" t="s">
        <v>22</v>
      </c>
      <c r="G319" t="s">
        <v>43</v>
      </c>
      <c r="H319" t="s">
        <v>33</v>
      </c>
      <c r="I319">
        <v>1</v>
      </c>
      <c r="J319">
        <v>900</v>
      </c>
      <c r="K319">
        <v>0.05</v>
      </c>
      <c r="L319" t="s">
        <v>34</v>
      </c>
      <c r="M319" t="s">
        <v>26</v>
      </c>
      <c r="N319" t="s">
        <v>27</v>
      </c>
      <c r="O319">
        <v>900</v>
      </c>
      <c r="P319">
        <v>45</v>
      </c>
      <c r="Q319">
        <v>855</v>
      </c>
      <c r="R319">
        <v>3</v>
      </c>
      <c r="S319" s="15">
        <f t="shared" si="4"/>
        <v>45992</v>
      </c>
    </row>
    <row r="320" spans="1:19">
      <c r="A320" t="s">
        <v>396</v>
      </c>
      <c r="B320" s="2">
        <v>46017</v>
      </c>
      <c r="C320" t="s">
        <v>40</v>
      </c>
      <c r="D320" t="s">
        <v>89</v>
      </c>
      <c r="E320" t="s">
        <v>21</v>
      </c>
      <c r="F320" t="s">
        <v>22</v>
      </c>
      <c r="G320" t="s">
        <v>105</v>
      </c>
      <c r="H320" t="s">
        <v>24</v>
      </c>
      <c r="I320">
        <v>3</v>
      </c>
      <c r="J320">
        <v>3360</v>
      </c>
      <c r="K320">
        <v>0.05</v>
      </c>
      <c r="L320" t="s">
        <v>64</v>
      </c>
      <c r="M320" t="s">
        <v>35</v>
      </c>
      <c r="N320" t="s">
        <v>27</v>
      </c>
      <c r="O320">
        <v>10080</v>
      </c>
      <c r="P320">
        <v>504</v>
      </c>
      <c r="Q320">
        <v>9576</v>
      </c>
      <c r="R320">
        <v>3</v>
      </c>
      <c r="S320" s="15">
        <f t="shared" si="4"/>
        <v>45992</v>
      </c>
    </row>
    <row r="321" spans="1:19">
      <c r="A321" t="s">
        <v>397</v>
      </c>
      <c r="B321" s="2">
        <v>46018</v>
      </c>
      <c r="C321" t="s">
        <v>19</v>
      </c>
      <c r="D321" t="s">
        <v>57</v>
      </c>
      <c r="E321" t="s">
        <v>21</v>
      </c>
      <c r="F321" t="s">
        <v>22</v>
      </c>
      <c r="G321" t="s">
        <v>43</v>
      </c>
      <c r="H321" t="s">
        <v>33</v>
      </c>
      <c r="I321">
        <v>1</v>
      </c>
      <c r="J321">
        <v>960</v>
      </c>
      <c r="K321">
        <v>0.08</v>
      </c>
      <c r="L321" t="s">
        <v>25</v>
      </c>
      <c r="M321" t="s">
        <v>35</v>
      </c>
      <c r="N321" t="s">
        <v>27</v>
      </c>
      <c r="O321">
        <v>960</v>
      </c>
      <c r="P321">
        <v>76.8</v>
      </c>
      <c r="Q321">
        <v>883.2</v>
      </c>
      <c r="R321">
        <v>3</v>
      </c>
      <c r="S321" s="15">
        <f t="shared" si="4"/>
        <v>45992</v>
      </c>
    </row>
    <row r="322" spans="1:19">
      <c r="A322" t="s">
        <v>398</v>
      </c>
      <c r="B322" s="2">
        <v>46018</v>
      </c>
      <c r="C322" t="s">
        <v>29</v>
      </c>
      <c r="D322" t="s">
        <v>85</v>
      </c>
      <c r="E322" t="s">
        <v>21</v>
      </c>
      <c r="F322" t="s">
        <v>31</v>
      </c>
      <c r="G322" t="s">
        <v>95</v>
      </c>
      <c r="H322" t="s">
        <v>24</v>
      </c>
      <c r="I322">
        <v>5</v>
      </c>
      <c r="J322">
        <v>21830</v>
      </c>
      <c r="K322">
        <v>0</v>
      </c>
      <c r="L322" t="s">
        <v>68</v>
      </c>
      <c r="M322" t="s">
        <v>26</v>
      </c>
      <c r="N322" t="s">
        <v>27</v>
      </c>
      <c r="O322">
        <v>109150</v>
      </c>
      <c r="P322">
        <v>0</v>
      </c>
      <c r="Q322">
        <v>109150</v>
      </c>
      <c r="R322">
        <v>1</v>
      </c>
      <c r="S322" s="15">
        <f t="shared" ref="S322:S385" si="5">DATE(YEAR(B322),MONTH(B322),1)</f>
        <v>45992</v>
      </c>
    </row>
    <row r="323" spans="1:19">
      <c r="A323" t="s">
        <v>399</v>
      </c>
      <c r="B323" s="2">
        <v>46019</v>
      </c>
      <c r="C323" t="s">
        <v>40</v>
      </c>
      <c r="D323" t="s">
        <v>41</v>
      </c>
      <c r="E323" t="s">
        <v>42</v>
      </c>
      <c r="F323" t="s">
        <v>22</v>
      </c>
      <c r="G323" t="s">
        <v>95</v>
      </c>
      <c r="H323" t="s">
        <v>24</v>
      </c>
      <c r="I323">
        <v>1</v>
      </c>
      <c r="J323">
        <v>21880</v>
      </c>
      <c r="K323">
        <v>0</v>
      </c>
      <c r="L323" t="s">
        <v>68</v>
      </c>
      <c r="M323" t="s">
        <v>26</v>
      </c>
      <c r="N323" t="s">
        <v>27</v>
      </c>
      <c r="O323">
        <v>21880</v>
      </c>
      <c r="P323">
        <v>0</v>
      </c>
      <c r="Q323">
        <v>21880</v>
      </c>
      <c r="R323">
        <v>4</v>
      </c>
      <c r="S323" s="15">
        <f t="shared" si="5"/>
        <v>45992</v>
      </c>
    </row>
    <row r="324" spans="1:19">
      <c r="A324" t="s">
        <v>400</v>
      </c>
      <c r="B324" s="2">
        <v>46021</v>
      </c>
      <c r="C324" t="s">
        <v>40</v>
      </c>
      <c r="D324" t="s">
        <v>41</v>
      </c>
      <c r="E324" t="s">
        <v>21</v>
      </c>
      <c r="F324" t="s">
        <v>53</v>
      </c>
      <c r="G324" t="s">
        <v>37</v>
      </c>
      <c r="H324" t="s">
        <v>24</v>
      </c>
      <c r="I324">
        <v>2</v>
      </c>
      <c r="J324">
        <v>62040</v>
      </c>
      <c r="K324">
        <v>0</v>
      </c>
      <c r="L324" t="s">
        <v>54</v>
      </c>
      <c r="M324" t="s">
        <v>66</v>
      </c>
      <c r="N324" t="s">
        <v>27</v>
      </c>
      <c r="O324">
        <v>124080</v>
      </c>
      <c r="P324">
        <v>0</v>
      </c>
      <c r="Q324">
        <v>124080</v>
      </c>
      <c r="R324">
        <v>3</v>
      </c>
      <c r="S324" s="15">
        <f t="shared" si="5"/>
        <v>45992</v>
      </c>
    </row>
    <row r="325" spans="1:19">
      <c r="A325" t="s">
        <v>401</v>
      </c>
      <c r="B325" s="2">
        <v>46021</v>
      </c>
      <c r="C325" t="s">
        <v>29</v>
      </c>
      <c r="D325" t="s">
        <v>61</v>
      </c>
      <c r="E325" t="s">
        <v>21</v>
      </c>
      <c r="F325" t="s">
        <v>22</v>
      </c>
      <c r="G325" t="s">
        <v>92</v>
      </c>
      <c r="H325" t="s">
        <v>24</v>
      </c>
      <c r="I325">
        <v>2</v>
      </c>
      <c r="J325">
        <v>17310</v>
      </c>
      <c r="K325">
        <v>0.05</v>
      </c>
      <c r="L325" t="s">
        <v>68</v>
      </c>
      <c r="M325" t="s">
        <v>26</v>
      </c>
      <c r="N325" t="s">
        <v>27</v>
      </c>
      <c r="O325">
        <v>34620</v>
      </c>
      <c r="P325">
        <v>1731</v>
      </c>
      <c r="Q325">
        <v>32889</v>
      </c>
      <c r="R325">
        <v>3</v>
      </c>
      <c r="S325" s="15">
        <f t="shared" si="5"/>
        <v>45992</v>
      </c>
    </row>
    <row r="326" spans="1:19">
      <c r="A326" t="s">
        <v>402</v>
      </c>
      <c r="B326" s="2">
        <v>46022</v>
      </c>
      <c r="C326" t="s">
        <v>29</v>
      </c>
      <c r="D326" t="s">
        <v>85</v>
      </c>
      <c r="E326" t="s">
        <v>21</v>
      </c>
      <c r="F326" t="s">
        <v>31</v>
      </c>
      <c r="G326" t="s">
        <v>62</v>
      </c>
      <c r="H326" t="s">
        <v>33</v>
      </c>
      <c r="I326">
        <v>2</v>
      </c>
      <c r="J326">
        <v>1710</v>
      </c>
      <c r="K326">
        <v>0.08</v>
      </c>
      <c r="L326" t="s">
        <v>68</v>
      </c>
      <c r="M326" t="s">
        <v>50</v>
      </c>
      <c r="N326" t="s">
        <v>27</v>
      </c>
      <c r="O326">
        <v>3420</v>
      </c>
      <c r="P326">
        <v>273.60000000000002</v>
      </c>
      <c r="Q326">
        <v>3146.4</v>
      </c>
      <c r="R326">
        <v>1</v>
      </c>
      <c r="S326" s="15">
        <f t="shared" si="5"/>
        <v>45992</v>
      </c>
    </row>
    <row r="327" spans="1:19">
      <c r="A327" t="s">
        <v>403</v>
      </c>
      <c r="B327" s="2">
        <v>46022</v>
      </c>
      <c r="C327" t="s">
        <v>29</v>
      </c>
      <c r="D327" t="s">
        <v>30</v>
      </c>
      <c r="E327" t="s">
        <v>42</v>
      </c>
      <c r="F327" t="s">
        <v>22</v>
      </c>
      <c r="G327" t="s">
        <v>105</v>
      </c>
      <c r="H327" t="s">
        <v>24</v>
      </c>
      <c r="I327">
        <v>3</v>
      </c>
      <c r="J327">
        <v>3290</v>
      </c>
      <c r="K327">
        <v>0.1</v>
      </c>
      <c r="L327" t="s">
        <v>25</v>
      </c>
      <c r="M327" t="s">
        <v>50</v>
      </c>
      <c r="N327" t="s">
        <v>27</v>
      </c>
      <c r="O327">
        <v>9870</v>
      </c>
      <c r="P327">
        <v>987</v>
      </c>
      <c r="Q327">
        <v>8883</v>
      </c>
      <c r="R327">
        <v>3</v>
      </c>
      <c r="S327" s="15">
        <f t="shared" si="5"/>
        <v>45992</v>
      </c>
    </row>
    <row r="328" spans="1:19">
      <c r="A328" t="s">
        <v>404</v>
      </c>
      <c r="B328" s="2">
        <v>46022</v>
      </c>
      <c r="C328" t="s">
        <v>40</v>
      </c>
      <c r="D328" t="s">
        <v>41</v>
      </c>
      <c r="E328" t="s">
        <v>42</v>
      </c>
      <c r="F328" t="s">
        <v>22</v>
      </c>
      <c r="G328" t="s">
        <v>92</v>
      </c>
      <c r="H328" t="s">
        <v>24</v>
      </c>
      <c r="I328">
        <v>1</v>
      </c>
      <c r="J328">
        <v>16890</v>
      </c>
      <c r="K328">
        <v>0.03</v>
      </c>
      <c r="L328" t="s">
        <v>34</v>
      </c>
      <c r="M328" t="s">
        <v>66</v>
      </c>
      <c r="N328" t="s">
        <v>27</v>
      </c>
      <c r="O328">
        <v>16890</v>
      </c>
      <c r="P328">
        <v>506.7</v>
      </c>
      <c r="Q328">
        <v>16383.3</v>
      </c>
      <c r="R328">
        <v>4</v>
      </c>
      <c r="S328" s="15">
        <f t="shared" si="5"/>
        <v>45992</v>
      </c>
    </row>
    <row r="329" spans="1:19">
      <c r="A329" t="s">
        <v>405</v>
      </c>
      <c r="B329" s="2">
        <v>46022</v>
      </c>
      <c r="C329" t="s">
        <v>82</v>
      </c>
      <c r="D329" t="s">
        <v>83</v>
      </c>
      <c r="E329" t="s">
        <v>42</v>
      </c>
      <c r="F329" t="s">
        <v>22</v>
      </c>
      <c r="G329" t="s">
        <v>105</v>
      </c>
      <c r="H329" t="s">
        <v>24</v>
      </c>
      <c r="I329">
        <v>1</v>
      </c>
      <c r="J329">
        <v>3110</v>
      </c>
      <c r="K329">
        <v>0.05</v>
      </c>
      <c r="L329" t="s">
        <v>68</v>
      </c>
      <c r="M329" t="s">
        <v>35</v>
      </c>
      <c r="N329" t="s">
        <v>27</v>
      </c>
      <c r="O329">
        <v>3110</v>
      </c>
      <c r="P329">
        <v>155.5</v>
      </c>
      <c r="Q329">
        <v>2954.5</v>
      </c>
      <c r="R329">
        <v>6</v>
      </c>
      <c r="S329" s="15">
        <f t="shared" si="5"/>
        <v>45992</v>
      </c>
    </row>
    <row r="330" spans="1:19">
      <c r="A330" t="s">
        <v>406</v>
      </c>
      <c r="B330" s="2">
        <v>46023</v>
      </c>
      <c r="C330" t="s">
        <v>19</v>
      </c>
      <c r="D330" t="s">
        <v>20</v>
      </c>
      <c r="E330" t="s">
        <v>21</v>
      </c>
      <c r="F330" t="s">
        <v>22</v>
      </c>
      <c r="G330" t="s">
        <v>43</v>
      </c>
      <c r="H330" t="s">
        <v>33</v>
      </c>
      <c r="I330">
        <v>4</v>
      </c>
      <c r="J330">
        <v>980</v>
      </c>
      <c r="K330">
        <v>0.03</v>
      </c>
      <c r="L330" t="s">
        <v>34</v>
      </c>
      <c r="M330" t="s">
        <v>50</v>
      </c>
      <c r="N330" t="s">
        <v>27</v>
      </c>
      <c r="O330">
        <v>3920</v>
      </c>
      <c r="P330">
        <v>117.6</v>
      </c>
      <c r="Q330">
        <v>3802.4</v>
      </c>
      <c r="R330">
        <v>2</v>
      </c>
      <c r="S330" s="15">
        <f t="shared" si="5"/>
        <v>46023</v>
      </c>
    </row>
    <row r="331" spans="1:19">
      <c r="A331" t="s">
        <v>407</v>
      </c>
      <c r="B331" s="2">
        <v>46023</v>
      </c>
      <c r="C331" t="s">
        <v>19</v>
      </c>
      <c r="D331" t="s">
        <v>52</v>
      </c>
      <c r="E331" t="s">
        <v>21</v>
      </c>
      <c r="F331" t="s">
        <v>31</v>
      </c>
      <c r="G331" t="s">
        <v>62</v>
      </c>
      <c r="H331" t="s">
        <v>33</v>
      </c>
      <c r="I331">
        <v>2</v>
      </c>
      <c r="J331">
        <v>1870</v>
      </c>
      <c r="K331">
        <v>0.05</v>
      </c>
      <c r="L331" t="s">
        <v>64</v>
      </c>
      <c r="M331" t="s">
        <v>55</v>
      </c>
      <c r="N331" t="s">
        <v>27</v>
      </c>
      <c r="O331">
        <v>3740</v>
      </c>
      <c r="P331">
        <v>187</v>
      </c>
      <c r="Q331">
        <v>3553</v>
      </c>
      <c r="R331">
        <v>2</v>
      </c>
      <c r="S331" s="15">
        <f t="shared" si="5"/>
        <v>46023</v>
      </c>
    </row>
    <row r="332" spans="1:19">
      <c r="A332" t="s">
        <v>408</v>
      </c>
      <c r="B332" s="2">
        <v>46023</v>
      </c>
      <c r="C332" t="s">
        <v>19</v>
      </c>
      <c r="D332" t="s">
        <v>20</v>
      </c>
      <c r="E332" t="s">
        <v>42</v>
      </c>
      <c r="F332" t="s">
        <v>31</v>
      </c>
      <c r="G332" t="s">
        <v>23</v>
      </c>
      <c r="H332" t="s">
        <v>24</v>
      </c>
      <c r="I332">
        <v>3</v>
      </c>
      <c r="J332">
        <v>29660</v>
      </c>
      <c r="K332">
        <v>0.03</v>
      </c>
      <c r="L332" t="s">
        <v>68</v>
      </c>
      <c r="M332" t="s">
        <v>50</v>
      </c>
      <c r="N332" t="s">
        <v>45</v>
      </c>
      <c r="O332">
        <v>0</v>
      </c>
      <c r="P332">
        <v>0</v>
      </c>
      <c r="Q332">
        <v>0</v>
      </c>
      <c r="S332" s="15">
        <f t="shared" si="5"/>
        <v>46023</v>
      </c>
    </row>
    <row r="333" spans="1:19">
      <c r="A333" t="s">
        <v>409</v>
      </c>
      <c r="B333" s="2">
        <v>46023</v>
      </c>
      <c r="C333" t="s">
        <v>29</v>
      </c>
      <c r="D333" t="s">
        <v>30</v>
      </c>
      <c r="E333" t="s">
        <v>21</v>
      </c>
      <c r="F333" t="s">
        <v>22</v>
      </c>
      <c r="G333" t="s">
        <v>32</v>
      </c>
      <c r="H333" t="s">
        <v>33</v>
      </c>
      <c r="I333">
        <v>5</v>
      </c>
      <c r="J333">
        <v>2410</v>
      </c>
      <c r="K333">
        <v>0.03</v>
      </c>
      <c r="L333" t="s">
        <v>34</v>
      </c>
      <c r="M333" t="s">
        <v>50</v>
      </c>
      <c r="N333" t="s">
        <v>27</v>
      </c>
      <c r="O333">
        <v>12050</v>
      </c>
      <c r="P333">
        <v>361.5</v>
      </c>
      <c r="Q333">
        <v>11688.5</v>
      </c>
      <c r="R333">
        <v>4</v>
      </c>
      <c r="S333" s="15">
        <f t="shared" si="5"/>
        <v>46023</v>
      </c>
    </row>
    <row r="334" spans="1:19">
      <c r="A334" t="s">
        <v>410</v>
      </c>
      <c r="B334" s="2">
        <v>46024</v>
      </c>
      <c r="C334" t="s">
        <v>29</v>
      </c>
      <c r="D334" t="s">
        <v>61</v>
      </c>
      <c r="E334" t="s">
        <v>21</v>
      </c>
      <c r="F334" t="s">
        <v>22</v>
      </c>
      <c r="G334" t="s">
        <v>152</v>
      </c>
      <c r="H334" t="s">
        <v>74</v>
      </c>
      <c r="I334">
        <v>1</v>
      </c>
      <c r="J334">
        <v>13640</v>
      </c>
      <c r="K334">
        <v>0.08</v>
      </c>
      <c r="L334" t="s">
        <v>68</v>
      </c>
      <c r="M334" t="s">
        <v>55</v>
      </c>
      <c r="N334" t="s">
        <v>27</v>
      </c>
      <c r="O334">
        <v>13640</v>
      </c>
      <c r="P334">
        <v>1091.2</v>
      </c>
      <c r="Q334">
        <v>12548.8</v>
      </c>
      <c r="R334">
        <v>3</v>
      </c>
      <c r="S334" s="15">
        <f t="shared" si="5"/>
        <v>46023</v>
      </c>
    </row>
    <row r="335" spans="1:19">
      <c r="A335" t="s">
        <v>411</v>
      </c>
      <c r="B335" s="2">
        <v>46024</v>
      </c>
      <c r="C335" t="s">
        <v>82</v>
      </c>
      <c r="D335" t="s">
        <v>178</v>
      </c>
      <c r="E335" t="s">
        <v>70</v>
      </c>
      <c r="F335" t="s">
        <v>22</v>
      </c>
      <c r="G335" t="s">
        <v>48</v>
      </c>
      <c r="H335" t="s">
        <v>49</v>
      </c>
      <c r="I335">
        <v>1</v>
      </c>
      <c r="J335">
        <v>12670</v>
      </c>
      <c r="K335">
        <v>0</v>
      </c>
      <c r="L335" t="s">
        <v>34</v>
      </c>
      <c r="M335" t="s">
        <v>66</v>
      </c>
      <c r="N335" t="s">
        <v>27</v>
      </c>
      <c r="O335">
        <v>12670</v>
      </c>
      <c r="P335">
        <v>0</v>
      </c>
      <c r="Q335">
        <v>12670</v>
      </c>
      <c r="R335">
        <v>5</v>
      </c>
      <c r="S335" s="15">
        <f t="shared" si="5"/>
        <v>46023</v>
      </c>
    </row>
    <row r="336" spans="1:19">
      <c r="A336" t="s">
        <v>412</v>
      </c>
      <c r="B336" s="2">
        <v>46024</v>
      </c>
      <c r="C336" t="s">
        <v>29</v>
      </c>
      <c r="D336" t="s">
        <v>78</v>
      </c>
      <c r="E336" t="s">
        <v>42</v>
      </c>
      <c r="F336" t="s">
        <v>53</v>
      </c>
      <c r="G336" t="s">
        <v>43</v>
      </c>
      <c r="H336" t="s">
        <v>33</v>
      </c>
      <c r="I336">
        <v>1</v>
      </c>
      <c r="J336">
        <v>920</v>
      </c>
      <c r="K336">
        <v>0.05</v>
      </c>
      <c r="L336" t="s">
        <v>64</v>
      </c>
      <c r="M336" t="s">
        <v>26</v>
      </c>
      <c r="N336" t="s">
        <v>27</v>
      </c>
      <c r="O336">
        <v>920</v>
      </c>
      <c r="P336">
        <v>46</v>
      </c>
      <c r="Q336">
        <v>874</v>
      </c>
      <c r="R336">
        <v>3</v>
      </c>
      <c r="S336" s="15">
        <f t="shared" si="5"/>
        <v>46023</v>
      </c>
    </row>
    <row r="337" spans="1:19">
      <c r="A337" t="s">
        <v>413</v>
      </c>
      <c r="B337" s="2">
        <v>46027</v>
      </c>
      <c r="C337" t="s">
        <v>82</v>
      </c>
      <c r="D337" t="s">
        <v>122</v>
      </c>
      <c r="E337" t="s">
        <v>42</v>
      </c>
      <c r="F337" t="s">
        <v>22</v>
      </c>
      <c r="G337" t="s">
        <v>95</v>
      </c>
      <c r="H337" t="s">
        <v>24</v>
      </c>
      <c r="I337">
        <v>1</v>
      </c>
      <c r="J337">
        <v>22060</v>
      </c>
      <c r="K337">
        <v>0.05</v>
      </c>
      <c r="L337" t="s">
        <v>25</v>
      </c>
      <c r="M337" t="s">
        <v>26</v>
      </c>
      <c r="N337" t="s">
        <v>27</v>
      </c>
      <c r="O337">
        <v>22060</v>
      </c>
      <c r="P337">
        <v>1103</v>
      </c>
      <c r="Q337">
        <v>20957</v>
      </c>
      <c r="R337">
        <v>1</v>
      </c>
      <c r="S337" s="15">
        <f t="shared" si="5"/>
        <v>46023</v>
      </c>
    </row>
    <row r="338" spans="1:19">
      <c r="A338" t="s">
        <v>414</v>
      </c>
      <c r="B338" s="2">
        <v>46028</v>
      </c>
      <c r="C338" t="s">
        <v>19</v>
      </c>
      <c r="D338" t="s">
        <v>52</v>
      </c>
      <c r="E338" t="s">
        <v>21</v>
      </c>
      <c r="F338" t="s">
        <v>22</v>
      </c>
      <c r="G338" t="s">
        <v>73</v>
      </c>
      <c r="H338" t="s">
        <v>74</v>
      </c>
      <c r="I338">
        <v>5</v>
      </c>
      <c r="J338">
        <v>12220</v>
      </c>
      <c r="K338">
        <v>0.15</v>
      </c>
      <c r="L338" t="s">
        <v>54</v>
      </c>
      <c r="M338" t="s">
        <v>66</v>
      </c>
      <c r="N338" t="s">
        <v>27</v>
      </c>
      <c r="O338">
        <v>61100</v>
      </c>
      <c r="P338">
        <v>9165</v>
      </c>
      <c r="Q338">
        <v>51935</v>
      </c>
      <c r="R338">
        <v>6</v>
      </c>
      <c r="S338" s="15">
        <f t="shared" si="5"/>
        <v>46023</v>
      </c>
    </row>
    <row r="339" spans="1:19">
      <c r="A339" t="s">
        <v>415</v>
      </c>
      <c r="B339" s="2">
        <v>46028</v>
      </c>
      <c r="C339" t="s">
        <v>82</v>
      </c>
      <c r="D339" t="s">
        <v>122</v>
      </c>
      <c r="E339" t="s">
        <v>42</v>
      </c>
      <c r="F339" t="s">
        <v>22</v>
      </c>
      <c r="G339" t="s">
        <v>48</v>
      </c>
      <c r="H339" t="s">
        <v>49</v>
      </c>
      <c r="I339">
        <v>1</v>
      </c>
      <c r="J339">
        <v>13190</v>
      </c>
      <c r="K339">
        <v>0.08</v>
      </c>
      <c r="L339" t="s">
        <v>68</v>
      </c>
      <c r="M339" t="s">
        <v>26</v>
      </c>
      <c r="N339" t="s">
        <v>27</v>
      </c>
      <c r="O339">
        <v>13190</v>
      </c>
      <c r="P339">
        <v>1055.2</v>
      </c>
      <c r="Q339">
        <v>12134.8</v>
      </c>
      <c r="R339">
        <v>2</v>
      </c>
      <c r="S339" s="15">
        <f t="shared" si="5"/>
        <v>46023</v>
      </c>
    </row>
    <row r="340" spans="1:19">
      <c r="A340" t="s">
        <v>416</v>
      </c>
      <c r="B340" s="2">
        <v>46028</v>
      </c>
      <c r="C340" t="s">
        <v>82</v>
      </c>
      <c r="D340" t="s">
        <v>122</v>
      </c>
      <c r="E340" t="s">
        <v>42</v>
      </c>
      <c r="F340" t="s">
        <v>22</v>
      </c>
      <c r="G340" t="s">
        <v>149</v>
      </c>
      <c r="H340" t="s">
        <v>33</v>
      </c>
      <c r="I340">
        <v>3</v>
      </c>
      <c r="J340">
        <v>3430</v>
      </c>
      <c r="K340">
        <v>0</v>
      </c>
      <c r="L340" t="s">
        <v>68</v>
      </c>
      <c r="M340" t="s">
        <v>71</v>
      </c>
      <c r="N340" t="s">
        <v>27</v>
      </c>
      <c r="O340">
        <v>10290</v>
      </c>
      <c r="P340">
        <v>0</v>
      </c>
      <c r="Q340">
        <v>10290</v>
      </c>
      <c r="R340">
        <v>4</v>
      </c>
      <c r="S340" s="15">
        <f t="shared" si="5"/>
        <v>46023</v>
      </c>
    </row>
    <row r="341" spans="1:19">
      <c r="A341" t="s">
        <v>417</v>
      </c>
      <c r="B341" s="2">
        <v>46029</v>
      </c>
      <c r="C341" t="s">
        <v>40</v>
      </c>
      <c r="D341" t="s">
        <v>89</v>
      </c>
      <c r="E341" t="s">
        <v>21</v>
      </c>
      <c r="F341" t="s">
        <v>31</v>
      </c>
      <c r="G341" t="s">
        <v>92</v>
      </c>
      <c r="H341" t="s">
        <v>24</v>
      </c>
      <c r="I341">
        <v>3</v>
      </c>
      <c r="J341">
        <v>16100</v>
      </c>
      <c r="K341">
        <v>0.08</v>
      </c>
      <c r="L341" t="s">
        <v>64</v>
      </c>
      <c r="M341" t="s">
        <v>35</v>
      </c>
      <c r="N341" t="s">
        <v>27</v>
      </c>
      <c r="O341">
        <v>48300</v>
      </c>
      <c r="P341">
        <v>3864</v>
      </c>
      <c r="Q341">
        <v>44436</v>
      </c>
      <c r="R341">
        <v>4</v>
      </c>
      <c r="S341" s="15">
        <f t="shared" si="5"/>
        <v>46023</v>
      </c>
    </row>
    <row r="342" spans="1:19">
      <c r="A342" t="s">
        <v>418</v>
      </c>
      <c r="B342" s="2">
        <v>46030</v>
      </c>
      <c r="C342" t="s">
        <v>19</v>
      </c>
      <c r="D342" t="s">
        <v>52</v>
      </c>
      <c r="E342" t="s">
        <v>42</v>
      </c>
      <c r="F342" t="s">
        <v>22</v>
      </c>
      <c r="G342" t="s">
        <v>37</v>
      </c>
      <c r="H342" t="s">
        <v>24</v>
      </c>
      <c r="I342">
        <v>4</v>
      </c>
      <c r="J342">
        <v>64750</v>
      </c>
      <c r="K342">
        <v>0.05</v>
      </c>
      <c r="L342" t="s">
        <v>64</v>
      </c>
      <c r="M342" t="s">
        <v>66</v>
      </c>
      <c r="N342" t="s">
        <v>27</v>
      </c>
      <c r="O342">
        <v>259000</v>
      </c>
      <c r="P342">
        <v>12950</v>
      </c>
      <c r="Q342">
        <v>246050</v>
      </c>
      <c r="R342">
        <v>2</v>
      </c>
      <c r="S342" s="15">
        <f t="shared" si="5"/>
        <v>46023</v>
      </c>
    </row>
    <row r="343" spans="1:19">
      <c r="A343" t="s">
        <v>419</v>
      </c>
      <c r="B343" s="2">
        <v>46030</v>
      </c>
      <c r="C343" t="s">
        <v>19</v>
      </c>
      <c r="D343" t="s">
        <v>52</v>
      </c>
      <c r="E343" t="s">
        <v>21</v>
      </c>
      <c r="F343" t="s">
        <v>22</v>
      </c>
      <c r="G343" t="s">
        <v>23</v>
      </c>
      <c r="H343" t="s">
        <v>24</v>
      </c>
      <c r="I343">
        <v>1</v>
      </c>
      <c r="J343">
        <v>27550</v>
      </c>
      <c r="K343">
        <v>0.05</v>
      </c>
      <c r="L343" t="s">
        <v>68</v>
      </c>
      <c r="M343" t="s">
        <v>26</v>
      </c>
      <c r="N343" t="s">
        <v>27</v>
      </c>
      <c r="O343">
        <v>27550</v>
      </c>
      <c r="P343">
        <v>1377.5</v>
      </c>
      <c r="Q343">
        <v>26172.5</v>
      </c>
      <c r="R343">
        <v>6</v>
      </c>
      <c r="S343" s="15">
        <f t="shared" si="5"/>
        <v>46023</v>
      </c>
    </row>
    <row r="344" spans="1:19">
      <c r="A344" t="s">
        <v>420</v>
      </c>
      <c r="B344" s="2">
        <v>46031</v>
      </c>
      <c r="C344" t="s">
        <v>19</v>
      </c>
      <c r="D344" t="s">
        <v>103</v>
      </c>
      <c r="E344" t="s">
        <v>21</v>
      </c>
      <c r="F344" t="s">
        <v>31</v>
      </c>
      <c r="G344" t="s">
        <v>23</v>
      </c>
      <c r="H344" t="s">
        <v>24</v>
      </c>
      <c r="I344">
        <v>3</v>
      </c>
      <c r="J344">
        <v>27860</v>
      </c>
      <c r="K344">
        <v>0.08</v>
      </c>
      <c r="L344" t="s">
        <v>54</v>
      </c>
      <c r="M344" t="s">
        <v>50</v>
      </c>
      <c r="N344" t="s">
        <v>27</v>
      </c>
      <c r="O344">
        <v>83580</v>
      </c>
      <c r="P344">
        <v>6686.4</v>
      </c>
      <c r="Q344">
        <v>76893.600000000006</v>
      </c>
      <c r="R344">
        <v>3</v>
      </c>
      <c r="S344" s="15">
        <f t="shared" si="5"/>
        <v>46023</v>
      </c>
    </row>
    <row r="345" spans="1:19">
      <c r="A345" t="s">
        <v>421</v>
      </c>
      <c r="B345" s="2">
        <v>46032</v>
      </c>
      <c r="C345" t="s">
        <v>82</v>
      </c>
      <c r="D345" t="s">
        <v>122</v>
      </c>
      <c r="E345" t="s">
        <v>70</v>
      </c>
      <c r="F345" t="s">
        <v>31</v>
      </c>
      <c r="G345" t="s">
        <v>43</v>
      </c>
      <c r="H345" t="s">
        <v>33</v>
      </c>
      <c r="I345">
        <v>2</v>
      </c>
      <c r="J345">
        <v>890</v>
      </c>
      <c r="K345">
        <v>0.1</v>
      </c>
      <c r="L345" t="s">
        <v>64</v>
      </c>
      <c r="M345" t="s">
        <v>26</v>
      </c>
      <c r="N345" t="s">
        <v>27</v>
      </c>
      <c r="O345">
        <v>1780</v>
      </c>
      <c r="P345">
        <v>178</v>
      </c>
      <c r="Q345">
        <v>1602</v>
      </c>
      <c r="R345">
        <v>3</v>
      </c>
      <c r="S345" s="15">
        <f t="shared" si="5"/>
        <v>46023</v>
      </c>
    </row>
    <row r="346" spans="1:19">
      <c r="A346" t="s">
        <v>422</v>
      </c>
      <c r="B346" s="2">
        <v>46032</v>
      </c>
      <c r="C346" t="s">
        <v>29</v>
      </c>
      <c r="D346" t="s">
        <v>85</v>
      </c>
      <c r="E346" t="s">
        <v>42</v>
      </c>
      <c r="F346" t="s">
        <v>22</v>
      </c>
      <c r="G346" t="s">
        <v>62</v>
      </c>
      <c r="H346" t="s">
        <v>33</v>
      </c>
      <c r="I346">
        <v>1</v>
      </c>
      <c r="J346">
        <v>1900</v>
      </c>
      <c r="K346">
        <v>0.03</v>
      </c>
      <c r="L346" t="s">
        <v>25</v>
      </c>
      <c r="M346" t="s">
        <v>44</v>
      </c>
      <c r="N346" t="s">
        <v>27</v>
      </c>
      <c r="O346">
        <v>1900</v>
      </c>
      <c r="P346">
        <v>57</v>
      </c>
      <c r="Q346">
        <v>1843</v>
      </c>
      <c r="R346">
        <v>2</v>
      </c>
      <c r="S346" s="15">
        <f t="shared" si="5"/>
        <v>46023</v>
      </c>
    </row>
    <row r="347" spans="1:19">
      <c r="A347" t="s">
        <v>423</v>
      </c>
      <c r="B347" s="2">
        <v>46032</v>
      </c>
      <c r="C347" t="s">
        <v>40</v>
      </c>
      <c r="D347" t="s">
        <v>41</v>
      </c>
      <c r="E347" t="s">
        <v>42</v>
      </c>
      <c r="F347" t="s">
        <v>31</v>
      </c>
      <c r="G347" t="s">
        <v>152</v>
      </c>
      <c r="H347" t="s">
        <v>74</v>
      </c>
      <c r="I347">
        <v>1</v>
      </c>
      <c r="J347">
        <v>14440</v>
      </c>
      <c r="K347">
        <v>0.03</v>
      </c>
      <c r="L347" t="s">
        <v>68</v>
      </c>
      <c r="M347" t="s">
        <v>35</v>
      </c>
      <c r="N347" t="s">
        <v>27</v>
      </c>
      <c r="O347">
        <v>14440</v>
      </c>
      <c r="P347">
        <v>433.2</v>
      </c>
      <c r="Q347">
        <v>14006.8</v>
      </c>
      <c r="R347">
        <v>5</v>
      </c>
      <c r="S347" s="15">
        <f t="shared" si="5"/>
        <v>46023</v>
      </c>
    </row>
    <row r="348" spans="1:19">
      <c r="A348" t="s">
        <v>424</v>
      </c>
      <c r="B348" s="2">
        <v>46032</v>
      </c>
      <c r="C348" t="s">
        <v>19</v>
      </c>
      <c r="D348" t="s">
        <v>57</v>
      </c>
      <c r="E348" t="s">
        <v>21</v>
      </c>
      <c r="F348" t="s">
        <v>22</v>
      </c>
      <c r="G348" t="s">
        <v>32</v>
      </c>
      <c r="H348" t="s">
        <v>33</v>
      </c>
      <c r="I348">
        <v>1</v>
      </c>
      <c r="J348">
        <v>2550</v>
      </c>
      <c r="K348">
        <v>0.05</v>
      </c>
      <c r="L348" t="s">
        <v>25</v>
      </c>
      <c r="M348" t="s">
        <v>50</v>
      </c>
      <c r="N348" t="s">
        <v>27</v>
      </c>
      <c r="O348">
        <v>2550</v>
      </c>
      <c r="P348">
        <v>127.5</v>
      </c>
      <c r="Q348">
        <v>2422.5</v>
      </c>
      <c r="R348">
        <v>4</v>
      </c>
      <c r="S348" s="15">
        <f t="shared" si="5"/>
        <v>46023</v>
      </c>
    </row>
    <row r="349" spans="1:19">
      <c r="A349" t="s">
        <v>425</v>
      </c>
      <c r="B349" s="2">
        <v>46033</v>
      </c>
      <c r="C349" t="s">
        <v>82</v>
      </c>
      <c r="D349" t="s">
        <v>178</v>
      </c>
      <c r="E349" t="s">
        <v>21</v>
      </c>
      <c r="F349" t="s">
        <v>22</v>
      </c>
      <c r="G349" t="s">
        <v>101</v>
      </c>
      <c r="H349" t="s">
        <v>33</v>
      </c>
      <c r="I349">
        <v>4</v>
      </c>
      <c r="J349">
        <v>1680</v>
      </c>
      <c r="K349">
        <v>0</v>
      </c>
      <c r="L349" t="s">
        <v>64</v>
      </c>
      <c r="M349" t="s">
        <v>38</v>
      </c>
      <c r="N349" t="s">
        <v>27</v>
      </c>
      <c r="O349">
        <v>6720</v>
      </c>
      <c r="P349">
        <v>0</v>
      </c>
      <c r="Q349">
        <v>6720</v>
      </c>
      <c r="R349">
        <v>3</v>
      </c>
      <c r="S349" s="15">
        <f t="shared" si="5"/>
        <v>46023</v>
      </c>
    </row>
    <row r="350" spans="1:19">
      <c r="A350" t="s">
        <v>426</v>
      </c>
      <c r="B350" s="2">
        <v>46033</v>
      </c>
      <c r="C350" t="s">
        <v>29</v>
      </c>
      <c r="D350" t="s">
        <v>30</v>
      </c>
      <c r="E350" t="s">
        <v>21</v>
      </c>
      <c r="F350" t="s">
        <v>22</v>
      </c>
      <c r="G350" t="s">
        <v>32</v>
      </c>
      <c r="H350" t="s">
        <v>33</v>
      </c>
      <c r="I350">
        <v>5</v>
      </c>
      <c r="J350">
        <v>2490</v>
      </c>
      <c r="K350">
        <v>0</v>
      </c>
      <c r="L350" t="s">
        <v>68</v>
      </c>
      <c r="M350" t="s">
        <v>44</v>
      </c>
      <c r="N350" t="s">
        <v>27</v>
      </c>
      <c r="O350">
        <v>12450</v>
      </c>
      <c r="P350">
        <v>0</v>
      </c>
      <c r="Q350">
        <v>12450</v>
      </c>
      <c r="R350">
        <v>1</v>
      </c>
      <c r="S350" s="15">
        <f t="shared" si="5"/>
        <v>46023</v>
      </c>
    </row>
    <row r="351" spans="1:19">
      <c r="A351" t="s">
        <v>427</v>
      </c>
      <c r="B351" s="2">
        <v>46033</v>
      </c>
      <c r="C351" t="s">
        <v>29</v>
      </c>
      <c r="D351" t="s">
        <v>30</v>
      </c>
      <c r="E351" t="s">
        <v>70</v>
      </c>
      <c r="F351" t="s">
        <v>22</v>
      </c>
      <c r="G351" t="s">
        <v>105</v>
      </c>
      <c r="H351" t="s">
        <v>24</v>
      </c>
      <c r="I351">
        <v>1</v>
      </c>
      <c r="J351">
        <v>3190</v>
      </c>
      <c r="K351">
        <v>0.03</v>
      </c>
      <c r="L351" t="s">
        <v>54</v>
      </c>
      <c r="M351" t="s">
        <v>38</v>
      </c>
      <c r="N351" t="s">
        <v>27</v>
      </c>
      <c r="O351">
        <v>3190</v>
      </c>
      <c r="P351">
        <v>95.7</v>
      </c>
      <c r="Q351">
        <v>3094.3</v>
      </c>
      <c r="R351">
        <v>4</v>
      </c>
      <c r="S351" s="15">
        <f t="shared" si="5"/>
        <v>46023</v>
      </c>
    </row>
    <row r="352" spans="1:19">
      <c r="A352" t="s">
        <v>428</v>
      </c>
      <c r="B352" s="2">
        <v>46034</v>
      </c>
      <c r="C352" t="s">
        <v>40</v>
      </c>
      <c r="D352" t="s">
        <v>89</v>
      </c>
      <c r="E352" t="s">
        <v>21</v>
      </c>
      <c r="F352" t="s">
        <v>31</v>
      </c>
      <c r="G352" t="s">
        <v>95</v>
      </c>
      <c r="H352" t="s">
        <v>24</v>
      </c>
      <c r="I352">
        <v>4</v>
      </c>
      <c r="J352">
        <v>21690</v>
      </c>
      <c r="K352">
        <v>0.05</v>
      </c>
      <c r="L352" t="s">
        <v>64</v>
      </c>
      <c r="M352" t="s">
        <v>44</v>
      </c>
      <c r="N352" t="s">
        <v>27</v>
      </c>
      <c r="O352">
        <v>86760</v>
      </c>
      <c r="P352">
        <v>4338</v>
      </c>
      <c r="Q352">
        <v>82422</v>
      </c>
      <c r="R352">
        <v>3</v>
      </c>
      <c r="S352" s="15">
        <f t="shared" si="5"/>
        <v>46023</v>
      </c>
    </row>
    <row r="353" spans="1:19">
      <c r="A353" t="s">
        <v>429</v>
      </c>
      <c r="B353" s="2">
        <v>46034</v>
      </c>
      <c r="C353" t="s">
        <v>29</v>
      </c>
      <c r="D353" t="s">
        <v>85</v>
      </c>
      <c r="E353" t="s">
        <v>42</v>
      </c>
      <c r="F353" t="s">
        <v>31</v>
      </c>
      <c r="G353" t="s">
        <v>73</v>
      </c>
      <c r="H353" t="s">
        <v>74</v>
      </c>
      <c r="I353">
        <v>1</v>
      </c>
      <c r="J353">
        <v>12280</v>
      </c>
      <c r="K353">
        <v>0.1</v>
      </c>
      <c r="L353" t="s">
        <v>68</v>
      </c>
      <c r="M353" t="s">
        <v>38</v>
      </c>
      <c r="N353" t="s">
        <v>45</v>
      </c>
      <c r="O353">
        <v>0</v>
      </c>
      <c r="P353">
        <v>0</v>
      </c>
      <c r="Q353">
        <v>0</v>
      </c>
      <c r="S353" s="15">
        <f t="shared" si="5"/>
        <v>46023</v>
      </c>
    </row>
    <row r="354" spans="1:19">
      <c r="A354" t="s">
        <v>430</v>
      </c>
      <c r="B354" s="2">
        <v>46035</v>
      </c>
      <c r="C354" t="s">
        <v>82</v>
      </c>
      <c r="D354" t="s">
        <v>83</v>
      </c>
      <c r="E354" t="s">
        <v>21</v>
      </c>
      <c r="F354" t="s">
        <v>22</v>
      </c>
      <c r="G354" t="s">
        <v>58</v>
      </c>
      <c r="H354" t="s">
        <v>59</v>
      </c>
      <c r="I354">
        <v>2</v>
      </c>
      <c r="J354">
        <v>6870</v>
      </c>
      <c r="K354">
        <v>0</v>
      </c>
      <c r="L354" t="s">
        <v>34</v>
      </c>
      <c r="M354" t="s">
        <v>44</v>
      </c>
      <c r="N354" t="s">
        <v>27</v>
      </c>
      <c r="O354">
        <v>13740</v>
      </c>
      <c r="P354">
        <v>0</v>
      </c>
      <c r="Q354">
        <v>13740</v>
      </c>
      <c r="R354">
        <v>1</v>
      </c>
      <c r="S354" s="15">
        <f t="shared" si="5"/>
        <v>46023</v>
      </c>
    </row>
    <row r="355" spans="1:19">
      <c r="A355" t="s">
        <v>431</v>
      </c>
      <c r="B355" s="2">
        <v>46035</v>
      </c>
      <c r="C355" t="s">
        <v>29</v>
      </c>
      <c r="D355" t="s">
        <v>78</v>
      </c>
      <c r="E355" t="s">
        <v>21</v>
      </c>
      <c r="F355" t="s">
        <v>31</v>
      </c>
      <c r="G355" t="s">
        <v>92</v>
      </c>
      <c r="H355" t="s">
        <v>24</v>
      </c>
      <c r="I355">
        <v>2</v>
      </c>
      <c r="J355">
        <v>16950</v>
      </c>
      <c r="K355">
        <v>0.03</v>
      </c>
      <c r="L355" t="s">
        <v>64</v>
      </c>
      <c r="M355" t="s">
        <v>26</v>
      </c>
      <c r="N355" t="s">
        <v>27</v>
      </c>
      <c r="O355">
        <v>33900</v>
      </c>
      <c r="P355">
        <v>1017</v>
      </c>
      <c r="Q355">
        <v>32883</v>
      </c>
      <c r="R355">
        <v>2</v>
      </c>
      <c r="S355" s="15">
        <f t="shared" si="5"/>
        <v>46023</v>
      </c>
    </row>
    <row r="356" spans="1:19">
      <c r="A356" t="s">
        <v>432</v>
      </c>
      <c r="B356" s="2">
        <v>46035</v>
      </c>
      <c r="C356" t="s">
        <v>40</v>
      </c>
      <c r="D356" t="s">
        <v>89</v>
      </c>
      <c r="E356" t="s">
        <v>70</v>
      </c>
      <c r="F356" t="s">
        <v>31</v>
      </c>
      <c r="G356" t="s">
        <v>73</v>
      </c>
      <c r="H356" t="s">
        <v>74</v>
      </c>
      <c r="I356">
        <v>1</v>
      </c>
      <c r="J356">
        <v>11110</v>
      </c>
      <c r="K356">
        <v>0</v>
      </c>
      <c r="L356" t="s">
        <v>25</v>
      </c>
      <c r="M356" t="s">
        <v>38</v>
      </c>
      <c r="N356" t="s">
        <v>27</v>
      </c>
      <c r="O356">
        <v>11110</v>
      </c>
      <c r="P356">
        <v>0</v>
      </c>
      <c r="Q356">
        <v>11110</v>
      </c>
      <c r="R356">
        <v>5</v>
      </c>
      <c r="S356" s="15">
        <f t="shared" si="5"/>
        <v>46023</v>
      </c>
    </row>
    <row r="357" spans="1:19">
      <c r="A357" t="s">
        <v>433</v>
      </c>
      <c r="B357" s="2">
        <v>46036</v>
      </c>
      <c r="C357" t="s">
        <v>29</v>
      </c>
      <c r="D357" t="s">
        <v>30</v>
      </c>
      <c r="E357" t="s">
        <v>42</v>
      </c>
      <c r="F357" t="s">
        <v>31</v>
      </c>
      <c r="G357" t="s">
        <v>48</v>
      </c>
      <c r="H357" t="s">
        <v>49</v>
      </c>
      <c r="I357">
        <v>2</v>
      </c>
      <c r="J357">
        <v>12510</v>
      </c>
      <c r="K357">
        <v>0.15</v>
      </c>
      <c r="L357" t="s">
        <v>68</v>
      </c>
      <c r="M357" t="s">
        <v>38</v>
      </c>
      <c r="N357" t="s">
        <v>27</v>
      </c>
      <c r="O357">
        <v>25020</v>
      </c>
      <c r="P357">
        <v>3753</v>
      </c>
      <c r="Q357">
        <v>21267</v>
      </c>
      <c r="R357">
        <v>3</v>
      </c>
      <c r="S357" s="15">
        <f t="shared" si="5"/>
        <v>46023</v>
      </c>
    </row>
    <row r="358" spans="1:19">
      <c r="A358" t="s">
        <v>434</v>
      </c>
      <c r="B358" s="2">
        <v>46036</v>
      </c>
      <c r="C358" t="s">
        <v>40</v>
      </c>
      <c r="D358" t="s">
        <v>115</v>
      </c>
      <c r="E358" t="s">
        <v>42</v>
      </c>
      <c r="F358" t="s">
        <v>53</v>
      </c>
      <c r="G358" t="s">
        <v>23</v>
      </c>
      <c r="H358" t="s">
        <v>24</v>
      </c>
      <c r="I358">
        <v>1</v>
      </c>
      <c r="J358">
        <v>28980</v>
      </c>
      <c r="K358">
        <v>0.05</v>
      </c>
      <c r="L358" t="s">
        <v>34</v>
      </c>
      <c r="M358" t="s">
        <v>26</v>
      </c>
      <c r="N358" t="s">
        <v>27</v>
      </c>
      <c r="O358">
        <v>28980</v>
      </c>
      <c r="P358">
        <v>1449</v>
      </c>
      <c r="Q358">
        <v>27531</v>
      </c>
      <c r="R358">
        <v>4</v>
      </c>
      <c r="S358" s="15">
        <f t="shared" si="5"/>
        <v>46023</v>
      </c>
    </row>
    <row r="359" spans="1:19">
      <c r="A359" t="s">
        <v>435</v>
      </c>
      <c r="B359" s="2">
        <v>46037</v>
      </c>
      <c r="C359" t="s">
        <v>40</v>
      </c>
      <c r="D359" t="s">
        <v>115</v>
      </c>
      <c r="E359" t="s">
        <v>42</v>
      </c>
      <c r="F359" t="s">
        <v>22</v>
      </c>
      <c r="G359" t="s">
        <v>73</v>
      </c>
      <c r="H359" t="s">
        <v>74</v>
      </c>
      <c r="I359">
        <v>1</v>
      </c>
      <c r="J359">
        <v>11860</v>
      </c>
      <c r="K359">
        <v>0.08</v>
      </c>
      <c r="L359" t="s">
        <v>25</v>
      </c>
      <c r="M359" t="s">
        <v>44</v>
      </c>
      <c r="N359" t="s">
        <v>27</v>
      </c>
      <c r="O359">
        <v>11860</v>
      </c>
      <c r="P359">
        <v>948.8</v>
      </c>
      <c r="Q359">
        <v>10911.2</v>
      </c>
      <c r="R359">
        <v>3</v>
      </c>
      <c r="S359" s="15">
        <f t="shared" si="5"/>
        <v>46023</v>
      </c>
    </row>
    <row r="360" spans="1:19">
      <c r="A360" t="s">
        <v>436</v>
      </c>
      <c r="B360" s="2">
        <v>46037</v>
      </c>
      <c r="C360" t="s">
        <v>29</v>
      </c>
      <c r="D360" t="s">
        <v>85</v>
      </c>
      <c r="E360" t="s">
        <v>42</v>
      </c>
      <c r="F360" t="s">
        <v>22</v>
      </c>
      <c r="G360" t="s">
        <v>105</v>
      </c>
      <c r="H360" t="s">
        <v>24</v>
      </c>
      <c r="I360">
        <v>1</v>
      </c>
      <c r="J360">
        <v>3240</v>
      </c>
      <c r="K360">
        <v>0.08</v>
      </c>
      <c r="L360" t="s">
        <v>54</v>
      </c>
      <c r="M360" t="s">
        <v>38</v>
      </c>
      <c r="N360" t="s">
        <v>27</v>
      </c>
      <c r="O360">
        <v>3240</v>
      </c>
      <c r="P360">
        <v>259.2</v>
      </c>
      <c r="Q360">
        <v>2980.8</v>
      </c>
      <c r="R360">
        <v>3</v>
      </c>
      <c r="S360" s="15">
        <f t="shared" si="5"/>
        <v>46023</v>
      </c>
    </row>
    <row r="361" spans="1:19">
      <c r="A361" t="s">
        <v>437</v>
      </c>
      <c r="B361" s="2">
        <v>46037</v>
      </c>
      <c r="C361" t="s">
        <v>40</v>
      </c>
      <c r="D361" t="s">
        <v>89</v>
      </c>
      <c r="E361" t="s">
        <v>42</v>
      </c>
      <c r="F361" t="s">
        <v>31</v>
      </c>
      <c r="G361" t="s">
        <v>149</v>
      </c>
      <c r="H361" t="s">
        <v>33</v>
      </c>
      <c r="I361">
        <v>3</v>
      </c>
      <c r="J361">
        <v>3830</v>
      </c>
      <c r="K361">
        <v>0.08</v>
      </c>
      <c r="L361" t="s">
        <v>54</v>
      </c>
      <c r="M361" t="s">
        <v>66</v>
      </c>
      <c r="N361" t="s">
        <v>27</v>
      </c>
      <c r="O361">
        <v>11490</v>
      </c>
      <c r="P361">
        <v>919.2</v>
      </c>
      <c r="Q361">
        <v>10570.8</v>
      </c>
      <c r="R361">
        <v>6</v>
      </c>
      <c r="S361" s="15">
        <f t="shared" si="5"/>
        <v>46023</v>
      </c>
    </row>
    <row r="362" spans="1:19">
      <c r="A362" t="s">
        <v>438</v>
      </c>
      <c r="B362" s="2">
        <v>46038</v>
      </c>
      <c r="C362" t="s">
        <v>19</v>
      </c>
      <c r="D362" t="s">
        <v>57</v>
      </c>
      <c r="E362" t="s">
        <v>42</v>
      </c>
      <c r="F362" t="s">
        <v>22</v>
      </c>
      <c r="G362" t="s">
        <v>95</v>
      </c>
      <c r="H362" t="s">
        <v>24</v>
      </c>
      <c r="I362">
        <v>1</v>
      </c>
      <c r="J362">
        <v>20570</v>
      </c>
      <c r="K362">
        <v>0.03</v>
      </c>
      <c r="L362" t="s">
        <v>64</v>
      </c>
      <c r="M362" t="s">
        <v>50</v>
      </c>
      <c r="N362" t="s">
        <v>27</v>
      </c>
      <c r="O362">
        <v>20570</v>
      </c>
      <c r="P362">
        <v>617.1</v>
      </c>
      <c r="Q362">
        <v>19952.900000000001</v>
      </c>
      <c r="R362">
        <v>5</v>
      </c>
      <c r="S362" s="15">
        <f t="shared" si="5"/>
        <v>46023</v>
      </c>
    </row>
    <row r="363" spans="1:19">
      <c r="A363" t="s">
        <v>439</v>
      </c>
      <c r="B363" s="2">
        <v>46040</v>
      </c>
      <c r="C363" t="s">
        <v>40</v>
      </c>
      <c r="D363" t="s">
        <v>89</v>
      </c>
      <c r="E363" t="s">
        <v>21</v>
      </c>
      <c r="F363" t="s">
        <v>22</v>
      </c>
      <c r="G363" t="s">
        <v>32</v>
      </c>
      <c r="H363" t="s">
        <v>33</v>
      </c>
      <c r="I363">
        <v>2</v>
      </c>
      <c r="J363">
        <v>2360</v>
      </c>
      <c r="K363">
        <v>0.08</v>
      </c>
      <c r="L363" t="s">
        <v>34</v>
      </c>
      <c r="M363" t="s">
        <v>26</v>
      </c>
      <c r="N363" t="s">
        <v>27</v>
      </c>
      <c r="O363">
        <v>4720</v>
      </c>
      <c r="P363">
        <v>377.6</v>
      </c>
      <c r="Q363">
        <v>4342.3999999999996</v>
      </c>
      <c r="R363">
        <v>4</v>
      </c>
      <c r="S363" s="15">
        <f t="shared" si="5"/>
        <v>46023</v>
      </c>
    </row>
    <row r="364" spans="1:19">
      <c r="A364" t="s">
        <v>440</v>
      </c>
      <c r="B364" s="2">
        <v>46041</v>
      </c>
      <c r="C364" t="s">
        <v>29</v>
      </c>
      <c r="D364" t="s">
        <v>78</v>
      </c>
      <c r="E364" t="s">
        <v>21</v>
      </c>
      <c r="F364" t="s">
        <v>53</v>
      </c>
      <c r="G364" t="s">
        <v>58</v>
      </c>
      <c r="H364" t="s">
        <v>59</v>
      </c>
      <c r="I364">
        <v>4</v>
      </c>
      <c r="J364">
        <v>6870</v>
      </c>
      <c r="K364">
        <v>0.05</v>
      </c>
      <c r="L364" t="s">
        <v>68</v>
      </c>
      <c r="M364" t="s">
        <v>35</v>
      </c>
      <c r="N364" t="s">
        <v>27</v>
      </c>
      <c r="O364">
        <v>27480</v>
      </c>
      <c r="P364">
        <v>1374</v>
      </c>
      <c r="Q364">
        <v>26106</v>
      </c>
      <c r="R364">
        <v>3</v>
      </c>
      <c r="S364" s="15">
        <f t="shared" si="5"/>
        <v>46023</v>
      </c>
    </row>
    <row r="365" spans="1:19">
      <c r="A365" t="s">
        <v>441</v>
      </c>
      <c r="B365" s="2">
        <v>46042</v>
      </c>
      <c r="C365" t="s">
        <v>40</v>
      </c>
      <c r="D365" t="s">
        <v>41</v>
      </c>
      <c r="E365" t="s">
        <v>21</v>
      </c>
      <c r="F365" t="s">
        <v>22</v>
      </c>
      <c r="G365" t="s">
        <v>37</v>
      </c>
      <c r="H365" t="s">
        <v>24</v>
      </c>
      <c r="I365">
        <v>3</v>
      </c>
      <c r="J365">
        <v>61220</v>
      </c>
      <c r="K365">
        <v>0.05</v>
      </c>
      <c r="L365" t="s">
        <v>34</v>
      </c>
      <c r="M365" t="s">
        <v>38</v>
      </c>
      <c r="N365" t="s">
        <v>27</v>
      </c>
      <c r="O365">
        <v>183660</v>
      </c>
      <c r="P365">
        <v>9183</v>
      </c>
      <c r="Q365">
        <v>174477</v>
      </c>
      <c r="R365">
        <v>4</v>
      </c>
      <c r="S365" s="15">
        <f t="shared" si="5"/>
        <v>46023</v>
      </c>
    </row>
    <row r="366" spans="1:19">
      <c r="A366" t="s">
        <v>442</v>
      </c>
      <c r="B366" s="2">
        <v>46042</v>
      </c>
      <c r="C366" t="s">
        <v>29</v>
      </c>
      <c r="D366" t="s">
        <v>61</v>
      </c>
      <c r="E366" t="s">
        <v>21</v>
      </c>
      <c r="F366" t="s">
        <v>53</v>
      </c>
      <c r="G366" t="s">
        <v>48</v>
      </c>
      <c r="H366" t="s">
        <v>49</v>
      </c>
      <c r="I366">
        <v>2</v>
      </c>
      <c r="J366">
        <v>13130</v>
      </c>
      <c r="K366">
        <v>0.03</v>
      </c>
      <c r="L366" t="s">
        <v>25</v>
      </c>
      <c r="M366" t="s">
        <v>44</v>
      </c>
      <c r="N366" t="s">
        <v>27</v>
      </c>
      <c r="O366">
        <v>26260</v>
      </c>
      <c r="P366">
        <v>787.8</v>
      </c>
      <c r="Q366">
        <v>25472.2</v>
      </c>
      <c r="R366">
        <v>2</v>
      </c>
      <c r="S366" s="15">
        <f t="shared" si="5"/>
        <v>46023</v>
      </c>
    </row>
    <row r="367" spans="1:19">
      <c r="A367" t="s">
        <v>443</v>
      </c>
      <c r="B367" s="2">
        <v>46044</v>
      </c>
      <c r="C367" t="s">
        <v>40</v>
      </c>
      <c r="D367" t="s">
        <v>47</v>
      </c>
      <c r="E367" t="s">
        <v>70</v>
      </c>
      <c r="F367" t="s">
        <v>22</v>
      </c>
      <c r="G367" t="s">
        <v>48</v>
      </c>
      <c r="H367" t="s">
        <v>49</v>
      </c>
      <c r="I367">
        <v>1</v>
      </c>
      <c r="J367">
        <v>12830</v>
      </c>
      <c r="K367">
        <v>0.08</v>
      </c>
      <c r="L367" t="s">
        <v>25</v>
      </c>
      <c r="M367" t="s">
        <v>66</v>
      </c>
      <c r="N367" t="s">
        <v>27</v>
      </c>
      <c r="O367">
        <v>12830</v>
      </c>
      <c r="P367">
        <v>1026.4000000000001</v>
      </c>
      <c r="Q367">
        <v>11803.6</v>
      </c>
      <c r="R367">
        <v>3</v>
      </c>
      <c r="S367" s="15">
        <f t="shared" si="5"/>
        <v>46023</v>
      </c>
    </row>
    <row r="368" spans="1:19">
      <c r="A368" t="s">
        <v>444</v>
      </c>
      <c r="B368" s="2">
        <v>46044</v>
      </c>
      <c r="C368" t="s">
        <v>19</v>
      </c>
      <c r="D368" t="s">
        <v>52</v>
      </c>
      <c r="E368" t="s">
        <v>70</v>
      </c>
      <c r="F368" t="s">
        <v>22</v>
      </c>
      <c r="G368" t="s">
        <v>92</v>
      </c>
      <c r="H368" t="s">
        <v>24</v>
      </c>
      <c r="I368">
        <v>3</v>
      </c>
      <c r="J368">
        <v>15660</v>
      </c>
      <c r="K368">
        <v>0.15</v>
      </c>
      <c r="L368" t="s">
        <v>68</v>
      </c>
      <c r="M368" t="s">
        <v>66</v>
      </c>
      <c r="N368" t="s">
        <v>27</v>
      </c>
      <c r="O368">
        <v>46980</v>
      </c>
      <c r="P368">
        <v>7047</v>
      </c>
      <c r="Q368">
        <v>39933</v>
      </c>
      <c r="R368">
        <v>4</v>
      </c>
      <c r="S368" s="15">
        <f t="shared" si="5"/>
        <v>46023</v>
      </c>
    </row>
    <row r="369" spans="1:19">
      <c r="A369" t="s">
        <v>445</v>
      </c>
      <c r="B369" s="2">
        <v>46044</v>
      </c>
      <c r="C369" t="s">
        <v>40</v>
      </c>
      <c r="D369" t="s">
        <v>89</v>
      </c>
      <c r="E369" t="s">
        <v>42</v>
      </c>
      <c r="F369" t="s">
        <v>22</v>
      </c>
      <c r="G369" t="s">
        <v>23</v>
      </c>
      <c r="H369" t="s">
        <v>24</v>
      </c>
      <c r="I369">
        <v>1</v>
      </c>
      <c r="J369">
        <v>26650</v>
      </c>
      <c r="K369">
        <v>0.08</v>
      </c>
      <c r="L369" t="s">
        <v>25</v>
      </c>
      <c r="M369" t="s">
        <v>55</v>
      </c>
      <c r="N369" t="s">
        <v>27</v>
      </c>
      <c r="O369">
        <v>26650</v>
      </c>
      <c r="P369">
        <v>2132</v>
      </c>
      <c r="Q369">
        <v>24518</v>
      </c>
      <c r="R369">
        <v>3</v>
      </c>
      <c r="S369" s="15">
        <f t="shared" si="5"/>
        <v>46023</v>
      </c>
    </row>
    <row r="370" spans="1:19">
      <c r="A370" t="s">
        <v>446</v>
      </c>
      <c r="B370" s="2">
        <v>46044</v>
      </c>
      <c r="C370" t="s">
        <v>40</v>
      </c>
      <c r="D370" t="s">
        <v>115</v>
      </c>
      <c r="E370" t="s">
        <v>21</v>
      </c>
      <c r="F370" t="s">
        <v>53</v>
      </c>
      <c r="G370" t="s">
        <v>23</v>
      </c>
      <c r="H370" t="s">
        <v>24</v>
      </c>
      <c r="I370">
        <v>2</v>
      </c>
      <c r="J370">
        <v>28290</v>
      </c>
      <c r="K370">
        <v>0</v>
      </c>
      <c r="L370" t="s">
        <v>68</v>
      </c>
      <c r="M370" t="s">
        <v>26</v>
      </c>
      <c r="N370" t="s">
        <v>27</v>
      </c>
      <c r="O370">
        <v>56580</v>
      </c>
      <c r="P370">
        <v>0</v>
      </c>
      <c r="Q370">
        <v>56580</v>
      </c>
      <c r="R370">
        <v>6</v>
      </c>
      <c r="S370" s="15">
        <f t="shared" si="5"/>
        <v>46023</v>
      </c>
    </row>
    <row r="371" spans="1:19">
      <c r="A371" t="s">
        <v>447</v>
      </c>
      <c r="B371" s="2">
        <v>46045</v>
      </c>
      <c r="C371" t="s">
        <v>29</v>
      </c>
      <c r="D371" t="s">
        <v>78</v>
      </c>
      <c r="E371" t="s">
        <v>70</v>
      </c>
      <c r="F371" t="s">
        <v>53</v>
      </c>
      <c r="G371" t="s">
        <v>43</v>
      </c>
      <c r="H371" t="s">
        <v>33</v>
      </c>
      <c r="I371">
        <v>1</v>
      </c>
      <c r="J371">
        <v>990</v>
      </c>
      <c r="K371">
        <v>0</v>
      </c>
      <c r="L371" t="s">
        <v>68</v>
      </c>
      <c r="M371" t="s">
        <v>66</v>
      </c>
      <c r="N371" t="s">
        <v>27</v>
      </c>
      <c r="O371">
        <v>990</v>
      </c>
      <c r="P371">
        <v>0</v>
      </c>
      <c r="Q371">
        <v>990</v>
      </c>
      <c r="R371">
        <v>5</v>
      </c>
      <c r="S371" s="15">
        <f t="shared" si="5"/>
        <v>46023</v>
      </c>
    </row>
    <row r="372" spans="1:19">
      <c r="A372" t="s">
        <v>448</v>
      </c>
      <c r="B372" s="2">
        <v>46046</v>
      </c>
      <c r="C372" t="s">
        <v>29</v>
      </c>
      <c r="D372" t="s">
        <v>30</v>
      </c>
      <c r="E372" t="s">
        <v>42</v>
      </c>
      <c r="F372" t="s">
        <v>22</v>
      </c>
      <c r="G372" t="s">
        <v>37</v>
      </c>
      <c r="H372" t="s">
        <v>24</v>
      </c>
      <c r="I372">
        <v>2</v>
      </c>
      <c r="J372">
        <v>59480</v>
      </c>
      <c r="K372">
        <v>0</v>
      </c>
      <c r="L372" t="s">
        <v>64</v>
      </c>
      <c r="M372" t="s">
        <v>38</v>
      </c>
      <c r="N372" t="s">
        <v>27</v>
      </c>
      <c r="O372">
        <v>118960</v>
      </c>
      <c r="P372">
        <v>0</v>
      </c>
      <c r="Q372">
        <v>118960</v>
      </c>
      <c r="R372">
        <v>3</v>
      </c>
      <c r="S372" s="15">
        <f t="shared" si="5"/>
        <v>46023</v>
      </c>
    </row>
    <row r="373" spans="1:19">
      <c r="A373" t="s">
        <v>449</v>
      </c>
      <c r="B373" s="2">
        <v>46046</v>
      </c>
      <c r="C373" t="s">
        <v>40</v>
      </c>
      <c r="D373" t="s">
        <v>115</v>
      </c>
      <c r="E373" t="s">
        <v>42</v>
      </c>
      <c r="F373" t="s">
        <v>22</v>
      </c>
      <c r="G373" t="s">
        <v>32</v>
      </c>
      <c r="H373" t="s">
        <v>33</v>
      </c>
      <c r="I373">
        <v>2</v>
      </c>
      <c r="J373">
        <v>2410</v>
      </c>
      <c r="K373">
        <v>0.08</v>
      </c>
      <c r="L373" t="s">
        <v>54</v>
      </c>
      <c r="M373" t="s">
        <v>50</v>
      </c>
      <c r="N373" t="s">
        <v>27</v>
      </c>
      <c r="O373">
        <v>4820</v>
      </c>
      <c r="P373">
        <v>385.6</v>
      </c>
      <c r="Q373">
        <v>4434.3999999999996</v>
      </c>
      <c r="R373">
        <v>4</v>
      </c>
      <c r="S373" s="15">
        <f t="shared" si="5"/>
        <v>46023</v>
      </c>
    </row>
    <row r="374" spans="1:19">
      <c r="A374" t="s">
        <v>450</v>
      </c>
      <c r="B374" s="2">
        <v>46047</v>
      </c>
      <c r="C374" t="s">
        <v>29</v>
      </c>
      <c r="D374" t="s">
        <v>61</v>
      </c>
      <c r="E374" t="s">
        <v>70</v>
      </c>
      <c r="F374" t="s">
        <v>53</v>
      </c>
      <c r="G374" t="s">
        <v>105</v>
      </c>
      <c r="H374" t="s">
        <v>24</v>
      </c>
      <c r="I374">
        <v>1</v>
      </c>
      <c r="J374">
        <v>3410</v>
      </c>
      <c r="K374">
        <v>0.08</v>
      </c>
      <c r="L374" t="s">
        <v>64</v>
      </c>
      <c r="M374" t="s">
        <v>44</v>
      </c>
      <c r="N374" t="s">
        <v>27</v>
      </c>
      <c r="O374">
        <v>3410</v>
      </c>
      <c r="P374">
        <v>272.8</v>
      </c>
      <c r="Q374">
        <v>3137.2</v>
      </c>
      <c r="R374">
        <v>3</v>
      </c>
      <c r="S374" s="15">
        <f t="shared" si="5"/>
        <v>46023</v>
      </c>
    </row>
    <row r="375" spans="1:19">
      <c r="A375" t="s">
        <v>451</v>
      </c>
      <c r="B375" s="2">
        <v>46047</v>
      </c>
      <c r="C375" t="s">
        <v>40</v>
      </c>
      <c r="D375" t="s">
        <v>47</v>
      </c>
      <c r="E375" t="s">
        <v>42</v>
      </c>
      <c r="F375" t="s">
        <v>31</v>
      </c>
      <c r="G375" t="s">
        <v>48</v>
      </c>
      <c r="H375" t="s">
        <v>49</v>
      </c>
      <c r="I375">
        <v>2</v>
      </c>
      <c r="J375">
        <v>12450</v>
      </c>
      <c r="K375">
        <v>0.05</v>
      </c>
      <c r="L375" t="s">
        <v>25</v>
      </c>
      <c r="M375" t="s">
        <v>50</v>
      </c>
      <c r="N375" t="s">
        <v>27</v>
      </c>
      <c r="O375">
        <v>24900</v>
      </c>
      <c r="P375">
        <v>1245</v>
      </c>
      <c r="Q375">
        <v>23655</v>
      </c>
      <c r="R375">
        <v>3</v>
      </c>
      <c r="S375" s="15">
        <f t="shared" si="5"/>
        <v>46023</v>
      </c>
    </row>
    <row r="376" spans="1:19">
      <c r="A376" t="s">
        <v>452</v>
      </c>
      <c r="B376" s="2">
        <v>46049</v>
      </c>
      <c r="C376" t="s">
        <v>29</v>
      </c>
      <c r="D376" t="s">
        <v>61</v>
      </c>
      <c r="E376" t="s">
        <v>42</v>
      </c>
      <c r="F376" t="s">
        <v>22</v>
      </c>
      <c r="G376" t="s">
        <v>92</v>
      </c>
      <c r="H376" t="s">
        <v>24</v>
      </c>
      <c r="I376">
        <v>5</v>
      </c>
      <c r="J376">
        <v>17550</v>
      </c>
      <c r="K376">
        <v>0.05</v>
      </c>
      <c r="L376" t="s">
        <v>25</v>
      </c>
      <c r="M376" t="s">
        <v>71</v>
      </c>
      <c r="N376" t="s">
        <v>27</v>
      </c>
      <c r="O376">
        <v>87750</v>
      </c>
      <c r="P376">
        <v>4387.5</v>
      </c>
      <c r="Q376">
        <v>83362.5</v>
      </c>
      <c r="R376">
        <v>3</v>
      </c>
      <c r="S376" s="15">
        <f t="shared" si="5"/>
        <v>46023</v>
      </c>
    </row>
    <row r="377" spans="1:19">
      <c r="A377" t="s">
        <v>453</v>
      </c>
      <c r="B377" s="2">
        <v>46049</v>
      </c>
      <c r="C377" t="s">
        <v>19</v>
      </c>
      <c r="D377" t="s">
        <v>57</v>
      </c>
      <c r="E377" t="s">
        <v>21</v>
      </c>
      <c r="F377" t="s">
        <v>53</v>
      </c>
      <c r="G377" t="s">
        <v>149</v>
      </c>
      <c r="H377" t="s">
        <v>33</v>
      </c>
      <c r="I377">
        <v>1</v>
      </c>
      <c r="J377">
        <v>3840</v>
      </c>
      <c r="K377">
        <v>0.15</v>
      </c>
      <c r="L377" t="s">
        <v>54</v>
      </c>
      <c r="M377" t="s">
        <v>44</v>
      </c>
      <c r="N377" t="s">
        <v>27</v>
      </c>
      <c r="O377">
        <v>3840</v>
      </c>
      <c r="P377">
        <v>576</v>
      </c>
      <c r="Q377">
        <v>3264</v>
      </c>
      <c r="R377">
        <v>5</v>
      </c>
      <c r="S377" s="15">
        <f t="shared" si="5"/>
        <v>46023</v>
      </c>
    </row>
    <row r="378" spans="1:19">
      <c r="A378" t="s">
        <v>454</v>
      </c>
      <c r="B378" s="2">
        <v>46050</v>
      </c>
      <c r="C378" t="s">
        <v>82</v>
      </c>
      <c r="D378" t="s">
        <v>83</v>
      </c>
      <c r="E378" t="s">
        <v>42</v>
      </c>
      <c r="F378" t="s">
        <v>22</v>
      </c>
      <c r="G378" t="s">
        <v>43</v>
      </c>
      <c r="H378" t="s">
        <v>33</v>
      </c>
      <c r="I378">
        <v>2</v>
      </c>
      <c r="J378">
        <v>1000</v>
      </c>
      <c r="K378">
        <v>0.05</v>
      </c>
      <c r="L378" t="s">
        <v>68</v>
      </c>
      <c r="M378" t="s">
        <v>55</v>
      </c>
      <c r="N378" t="s">
        <v>27</v>
      </c>
      <c r="O378">
        <v>2000</v>
      </c>
      <c r="P378">
        <v>100</v>
      </c>
      <c r="Q378">
        <v>1900</v>
      </c>
      <c r="R378">
        <v>4</v>
      </c>
      <c r="S378" s="15">
        <f t="shared" si="5"/>
        <v>46023</v>
      </c>
    </row>
    <row r="379" spans="1:19">
      <c r="A379" t="s">
        <v>455</v>
      </c>
      <c r="B379" s="2">
        <v>46050</v>
      </c>
      <c r="C379" t="s">
        <v>19</v>
      </c>
      <c r="D379" t="s">
        <v>20</v>
      </c>
      <c r="E379" t="s">
        <v>21</v>
      </c>
      <c r="F379" t="s">
        <v>22</v>
      </c>
      <c r="G379" t="s">
        <v>32</v>
      </c>
      <c r="H379" t="s">
        <v>33</v>
      </c>
      <c r="I379">
        <v>5</v>
      </c>
      <c r="J379">
        <v>2340</v>
      </c>
      <c r="K379">
        <v>0.05</v>
      </c>
      <c r="L379" t="s">
        <v>54</v>
      </c>
      <c r="M379" t="s">
        <v>50</v>
      </c>
      <c r="N379" t="s">
        <v>27</v>
      </c>
      <c r="O379">
        <v>11700</v>
      </c>
      <c r="P379">
        <v>585</v>
      </c>
      <c r="Q379">
        <v>11115</v>
      </c>
      <c r="R379">
        <v>3</v>
      </c>
      <c r="S379" s="15">
        <f t="shared" si="5"/>
        <v>46023</v>
      </c>
    </row>
    <row r="380" spans="1:19">
      <c r="A380" t="s">
        <v>456</v>
      </c>
      <c r="B380" s="2">
        <v>46050</v>
      </c>
      <c r="C380" t="s">
        <v>82</v>
      </c>
      <c r="D380" t="s">
        <v>83</v>
      </c>
      <c r="E380" t="s">
        <v>42</v>
      </c>
      <c r="F380" t="s">
        <v>22</v>
      </c>
      <c r="G380" t="s">
        <v>105</v>
      </c>
      <c r="H380" t="s">
        <v>24</v>
      </c>
      <c r="I380">
        <v>2</v>
      </c>
      <c r="J380">
        <v>3330</v>
      </c>
      <c r="K380">
        <v>0.1</v>
      </c>
      <c r="L380" t="s">
        <v>25</v>
      </c>
      <c r="M380" t="s">
        <v>71</v>
      </c>
      <c r="N380" t="s">
        <v>27</v>
      </c>
      <c r="O380">
        <v>6660</v>
      </c>
      <c r="P380">
        <v>666</v>
      </c>
      <c r="Q380">
        <v>5994</v>
      </c>
      <c r="R380">
        <v>3</v>
      </c>
      <c r="S380" s="15">
        <f t="shared" si="5"/>
        <v>46023</v>
      </c>
    </row>
    <row r="381" spans="1:19">
      <c r="A381" t="s">
        <v>457</v>
      </c>
      <c r="B381" s="2">
        <v>46051</v>
      </c>
      <c r="C381" t="s">
        <v>19</v>
      </c>
      <c r="D381" t="s">
        <v>20</v>
      </c>
      <c r="E381" t="s">
        <v>42</v>
      </c>
      <c r="F381" t="s">
        <v>22</v>
      </c>
      <c r="G381" t="s">
        <v>32</v>
      </c>
      <c r="H381" t="s">
        <v>33</v>
      </c>
      <c r="I381">
        <v>3</v>
      </c>
      <c r="J381">
        <v>2490</v>
      </c>
      <c r="K381">
        <v>0.05</v>
      </c>
      <c r="L381" t="s">
        <v>68</v>
      </c>
      <c r="M381" t="s">
        <v>35</v>
      </c>
      <c r="N381" t="s">
        <v>27</v>
      </c>
      <c r="O381">
        <v>7470</v>
      </c>
      <c r="P381">
        <v>373.5</v>
      </c>
      <c r="Q381">
        <v>7096.5</v>
      </c>
      <c r="R381">
        <v>3</v>
      </c>
      <c r="S381" s="15">
        <f t="shared" si="5"/>
        <v>46023</v>
      </c>
    </row>
    <row r="382" spans="1:19">
      <c r="A382" t="s">
        <v>458</v>
      </c>
      <c r="B382" s="2">
        <v>46051</v>
      </c>
      <c r="C382" t="s">
        <v>40</v>
      </c>
      <c r="D382" t="s">
        <v>41</v>
      </c>
      <c r="E382" t="s">
        <v>21</v>
      </c>
      <c r="F382" t="s">
        <v>31</v>
      </c>
      <c r="G382" t="s">
        <v>92</v>
      </c>
      <c r="H382" t="s">
        <v>24</v>
      </c>
      <c r="I382">
        <v>4</v>
      </c>
      <c r="J382">
        <v>15660</v>
      </c>
      <c r="K382">
        <v>0</v>
      </c>
      <c r="L382" t="s">
        <v>25</v>
      </c>
      <c r="M382" t="s">
        <v>38</v>
      </c>
      <c r="N382" t="s">
        <v>27</v>
      </c>
      <c r="O382">
        <v>62640</v>
      </c>
      <c r="P382">
        <v>0</v>
      </c>
      <c r="Q382">
        <v>62640</v>
      </c>
      <c r="R382">
        <v>4</v>
      </c>
      <c r="S382" s="15">
        <f t="shared" si="5"/>
        <v>46023</v>
      </c>
    </row>
    <row r="383" spans="1:19">
      <c r="A383" t="s">
        <v>459</v>
      </c>
      <c r="B383" s="2">
        <v>46051</v>
      </c>
      <c r="C383" t="s">
        <v>40</v>
      </c>
      <c r="D383" t="s">
        <v>41</v>
      </c>
      <c r="E383" t="s">
        <v>21</v>
      </c>
      <c r="F383" t="s">
        <v>31</v>
      </c>
      <c r="G383" t="s">
        <v>58</v>
      </c>
      <c r="H383" t="s">
        <v>59</v>
      </c>
      <c r="I383">
        <v>1</v>
      </c>
      <c r="J383">
        <v>7640</v>
      </c>
      <c r="K383">
        <v>0.05</v>
      </c>
      <c r="L383" t="s">
        <v>68</v>
      </c>
      <c r="M383" t="s">
        <v>38</v>
      </c>
      <c r="N383" t="s">
        <v>27</v>
      </c>
      <c r="O383">
        <v>7640</v>
      </c>
      <c r="P383">
        <v>382</v>
      </c>
      <c r="Q383">
        <v>7258</v>
      </c>
      <c r="R383">
        <v>1</v>
      </c>
      <c r="S383" s="15">
        <f t="shared" si="5"/>
        <v>46023</v>
      </c>
    </row>
    <row r="384" spans="1:19">
      <c r="A384" t="s">
        <v>460</v>
      </c>
      <c r="B384" s="2">
        <v>46051</v>
      </c>
      <c r="C384" t="s">
        <v>29</v>
      </c>
      <c r="D384" t="s">
        <v>30</v>
      </c>
      <c r="E384" t="s">
        <v>21</v>
      </c>
      <c r="F384" t="s">
        <v>53</v>
      </c>
      <c r="G384" t="s">
        <v>105</v>
      </c>
      <c r="H384" t="s">
        <v>24</v>
      </c>
      <c r="I384">
        <v>1</v>
      </c>
      <c r="J384">
        <v>3230</v>
      </c>
      <c r="K384">
        <v>0</v>
      </c>
      <c r="L384" t="s">
        <v>68</v>
      </c>
      <c r="M384" t="s">
        <v>66</v>
      </c>
      <c r="N384" t="s">
        <v>27</v>
      </c>
      <c r="O384">
        <v>3230</v>
      </c>
      <c r="P384">
        <v>0</v>
      </c>
      <c r="Q384">
        <v>3230</v>
      </c>
      <c r="R384">
        <v>2</v>
      </c>
      <c r="S384" s="15">
        <f t="shared" si="5"/>
        <v>46023</v>
      </c>
    </row>
    <row r="385" spans="1:19">
      <c r="A385" t="s">
        <v>461</v>
      </c>
      <c r="B385" s="2">
        <v>46052</v>
      </c>
      <c r="C385" t="s">
        <v>29</v>
      </c>
      <c r="D385" t="s">
        <v>78</v>
      </c>
      <c r="E385" t="s">
        <v>21</v>
      </c>
      <c r="F385" t="s">
        <v>22</v>
      </c>
      <c r="G385" t="s">
        <v>101</v>
      </c>
      <c r="H385" t="s">
        <v>33</v>
      </c>
      <c r="I385">
        <v>2</v>
      </c>
      <c r="J385">
        <v>1880</v>
      </c>
      <c r="K385">
        <v>0.1</v>
      </c>
      <c r="L385" t="s">
        <v>64</v>
      </c>
      <c r="M385" t="s">
        <v>44</v>
      </c>
      <c r="N385" t="s">
        <v>27</v>
      </c>
      <c r="O385">
        <v>3760</v>
      </c>
      <c r="P385">
        <v>376</v>
      </c>
      <c r="Q385">
        <v>3384</v>
      </c>
      <c r="R385">
        <v>3</v>
      </c>
      <c r="S385" s="15">
        <f t="shared" si="5"/>
        <v>46023</v>
      </c>
    </row>
    <row r="386" spans="1:19">
      <c r="A386" t="s">
        <v>462</v>
      </c>
      <c r="B386" s="2">
        <v>46052</v>
      </c>
      <c r="C386" t="s">
        <v>19</v>
      </c>
      <c r="D386" t="s">
        <v>103</v>
      </c>
      <c r="E386" t="s">
        <v>42</v>
      </c>
      <c r="F386" t="s">
        <v>22</v>
      </c>
      <c r="G386" t="s">
        <v>43</v>
      </c>
      <c r="H386" t="s">
        <v>33</v>
      </c>
      <c r="I386">
        <v>3</v>
      </c>
      <c r="J386">
        <v>1010</v>
      </c>
      <c r="K386">
        <v>0.05</v>
      </c>
      <c r="L386" t="s">
        <v>68</v>
      </c>
      <c r="M386" t="s">
        <v>71</v>
      </c>
      <c r="N386" t="s">
        <v>27</v>
      </c>
      <c r="O386">
        <v>3030</v>
      </c>
      <c r="P386">
        <v>151.5</v>
      </c>
      <c r="Q386">
        <v>2878.5</v>
      </c>
      <c r="R386">
        <v>5</v>
      </c>
      <c r="S386" s="15">
        <f t="shared" ref="S386:S449" si="6">DATE(YEAR(B386),MONTH(B386),1)</f>
        <v>46023</v>
      </c>
    </row>
    <row r="387" spans="1:19">
      <c r="A387" t="s">
        <v>463</v>
      </c>
      <c r="B387" s="2">
        <v>46052</v>
      </c>
      <c r="C387" t="s">
        <v>40</v>
      </c>
      <c r="D387" t="s">
        <v>89</v>
      </c>
      <c r="E387" t="s">
        <v>42</v>
      </c>
      <c r="F387" t="s">
        <v>22</v>
      </c>
      <c r="G387" t="s">
        <v>37</v>
      </c>
      <c r="H387" t="s">
        <v>24</v>
      </c>
      <c r="I387">
        <v>3</v>
      </c>
      <c r="J387">
        <v>59880</v>
      </c>
      <c r="K387">
        <v>0.1</v>
      </c>
      <c r="L387" t="s">
        <v>64</v>
      </c>
      <c r="M387" t="s">
        <v>66</v>
      </c>
      <c r="N387" t="s">
        <v>27</v>
      </c>
      <c r="O387">
        <v>179640</v>
      </c>
      <c r="P387">
        <v>17964</v>
      </c>
      <c r="Q387">
        <v>161676</v>
      </c>
      <c r="R387">
        <v>3</v>
      </c>
      <c r="S387" s="15">
        <f t="shared" si="6"/>
        <v>46023</v>
      </c>
    </row>
    <row r="388" spans="1:19">
      <c r="A388" t="s">
        <v>464</v>
      </c>
      <c r="B388" s="2">
        <v>46053</v>
      </c>
      <c r="C388" t="s">
        <v>29</v>
      </c>
      <c r="D388" t="s">
        <v>30</v>
      </c>
      <c r="E388" t="s">
        <v>42</v>
      </c>
      <c r="F388" t="s">
        <v>22</v>
      </c>
      <c r="G388" t="s">
        <v>37</v>
      </c>
      <c r="H388" t="s">
        <v>24</v>
      </c>
      <c r="I388">
        <v>4</v>
      </c>
      <c r="J388">
        <v>57860</v>
      </c>
      <c r="K388">
        <v>0.05</v>
      </c>
      <c r="L388" t="s">
        <v>54</v>
      </c>
      <c r="M388" t="s">
        <v>55</v>
      </c>
      <c r="N388" t="s">
        <v>27</v>
      </c>
      <c r="O388">
        <v>231440</v>
      </c>
      <c r="P388">
        <v>11572</v>
      </c>
      <c r="Q388">
        <v>219868</v>
      </c>
      <c r="R388">
        <v>3</v>
      </c>
      <c r="S388" s="15">
        <f t="shared" si="6"/>
        <v>46023</v>
      </c>
    </row>
    <row r="389" spans="1:19">
      <c r="A389" t="s">
        <v>465</v>
      </c>
      <c r="B389" s="2">
        <v>46053</v>
      </c>
      <c r="C389" t="s">
        <v>40</v>
      </c>
      <c r="D389" t="s">
        <v>47</v>
      </c>
      <c r="E389" t="s">
        <v>21</v>
      </c>
      <c r="F389" t="s">
        <v>53</v>
      </c>
      <c r="G389" t="s">
        <v>37</v>
      </c>
      <c r="H389" t="s">
        <v>24</v>
      </c>
      <c r="I389">
        <v>1</v>
      </c>
      <c r="J389">
        <v>61330</v>
      </c>
      <c r="K389">
        <v>0</v>
      </c>
      <c r="L389" t="s">
        <v>64</v>
      </c>
      <c r="M389" t="s">
        <v>55</v>
      </c>
      <c r="N389" t="s">
        <v>27</v>
      </c>
      <c r="O389">
        <v>61330</v>
      </c>
      <c r="P389">
        <v>0</v>
      </c>
      <c r="Q389">
        <v>61330</v>
      </c>
      <c r="R389">
        <v>1</v>
      </c>
      <c r="S389" s="15">
        <f t="shared" si="6"/>
        <v>46023</v>
      </c>
    </row>
    <row r="390" spans="1:19">
      <c r="A390" t="s">
        <v>466</v>
      </c>
      <c r="B390" s="2">
        <v>46054</v>
      </c>
      <c r="C390" t="s">
        <v>29</v>
      </c>
      <c r="D390" t="s">
        <v>85</v>
      </c>
      <c r="E390" t="s">
        <v>42</v>
      </c>
      <c r="F390" t="s">
        <v>31</v>
      </c>
      <c r="G390" t="s">
        <v>149</v>
      </c>
      <c r="H390" t="s">
        <v>33</v>
      </c>
      <c r="I390">
        <v>1</v>
      </c>
      <c r="J390">
        <v>3660</v>
      </c>
      <c r="K390">
        <v>0.05</v>
      </c>
      <c r="L390" t="s">
        <v>64</v>
      </c>
      <c r="M390" t="s">
        <v>35</v>
      </c>
      <c r="N390" t="s">
        <v>27</v>
      </c>
      <c r="O390">
        <v>3660</v>
      </c>
      <c r="P390">
        <v>183</v>
      </c>
      <c r="Q390">
        <v>3477</v>
      </c>
      <c r="R390">
        <v>6</v>
      </c>
      <c r="S390" s="15">
        <f t="shared" si="6"/>
        <v>46054</v>
      </c>
    </row>
    <row r="391" spans="1:19">
      <c r="A391" t="s">
        <v>467</v>
      </c>
      <c r="B391" s="2">
        <v>46054</v>
      </c>
      <c r="C391" t="s">
        <v>40</v>
      </c>
      <c r="D391" t="s">
        <v>41</v>
      </c>
      <c r="E391" t="s">
        <v>42</v>
      </c>
      <c r="F391" t="s">
        <v>22</v>
      </c>
      <c r="G391" t="s">
        <v>23</v>
      </c>
      <c r="H391" t="s">
        <v>24</v>
      </c>
      <c r="I391">
        <v>1</v>
      </c>
      <c r="J391">
        <v>27590</v>
      </c>
      <c r="K391">
        <v>0.08</v>
      </c>
      <c r="L391" t="s">
        <v>64</v>
      </c>
      <c r="M391" t="s">
        <v>71</v>
      </c>
      <c r="N391" t="s">
        <v>27</v>
      </c>
      <c r="O391">
        <v>27590</v>
      </c>
      <c r="P391">
        <v>2207.1999999999998</v>
      </c>
      <c r="Q391">
        <v>25382.799999999999</v>
      </c>
      <c r="R391">
        <v>5</v>
      </c>
      <c r="S391" s="15">
        <f t="shared" si="6"/>
        <v>46054</v>
      </c>
    </row>
    <row r="392" spans="1:19">
      <c r="A392" t="s">
        <v>468</v>
      </c>
      <c r="B392" s="2">
        <v>46055</v>
      </c>
      <c r="C392" t="s">
        <v>40</v>
      </c>
      <c r="D392" t="s">
        <v>41</v>
      </c>
      <c r="E392" t="s">
        <v>21</v>
      </c>
      <c r="F392" t="s">
        <v>22</v>
      </c>
      <c r="G392" t="s">
        <v>105</v>
      </c>
      <c r="H392" t="s">
        <v>24</v>
      </c>
      <c r="I392">
        <v>2</v>
      </c>
      <c r="J392">
        <v>3110</v>
      </c>
      <c r="K392">
        <v>0.08</v>
      </c>
      <c r="L392" t="s">
        <v>68</v>
      </c>
      <c r="M392" t="s">
        <v>26</v>
      </c>
      <c r="N392" t="s">
        <v>27</v>
      </c>
      <c r="O392">
        <v>6220</v>
      </c>
      <c r="P392">
        <v>497.6</v>
      </c>
      <c r="Q392">
        <v>5722.4</v>
      </c>
      <c r="R392">
        <v>6</v>
      </c>
      <c r="S392" s="15">
        <f t="shared" si="6"/>
        <v>46054</v>
      </c>
    </row>
    <row r="393" spans="1:19">
      <c r="A393" t="s">
        <v>469</v>
      </c>
      <c r="B393" s="2">
        <v>46055</v>
      </c>
      <c r="C393" t="s">
        <v>19</v>
      </c>
      <c r="D393" t="s">
        <v>57</v>
      </c>
      <c r="E393" t="s">
        <v>21</v>
      </c>
      <c r="F393" t="s">
        <v>22</v>
      </c>
      <c r="G393" t="s">
        <v>92</v>
      </c>
      <c r="H393" t="s">
        <v>24</v>
      </c>
      <c r="I393">
        <v>2</v>
      </c>
      <c r="J393">
        <v>15360</v>
      </c>
      <c r="K393">
        <v>0.15</v>
      </c>
      <c r="L393" t="s">
        <v>54</v>
      </c>
      <c r="M393" t="s">
        <v>26</v>
      </c>
      <c r="N393" t="s">
        <v>27</v>
      </c>
      <c r="O393">
        <v>30720</v>
      </c>
      <c r="P393">
        <v>4608</v>
      </c>
      <c r="Q393">
        <v>26112</v>
      </c>
      <c r="R393">
        <v>2</v>
      </c>
      <c r="S393" s="15">
        <f t="shared" si="6"/>
        <v>46054</v>
      </c>
    </row>
    <row r="394" spans="1:19">
      <c r="A394" t="s">
        <v>470</v>
      </c>
      <c r="B394" s="2">
        <v>46055</v>
      </c>
      <c r="C394" t="s">
        <v>40</v>
      </c>
      <c r="D394" t="s">
        <v>89</v>
      </c>
      <c r="E394" t="s">
        <v>70</v>
      </c>
      <c r="F394" t="s">
        <v>22</v>
      </c>
      <c r="G394" t="s">
        <v>105</v>
      </c>
      <c r="H394" t="s">
        <v>24</v>
      </c>
      <c r="I394">
        <v>4</v>
      </c>
      <c r="J394">
        <v>3050</v>
      </c>
      <c r="K394">
        <v>0.08</v>
      </c>
      <c r="L394" t="s">
        <v>68</v>
      </c>
      <c r="M394" t="s">
        <v>71</v>
      </c>
      <c r="N394" t="s">
        <v>27</v>
      </c>
      <c r="O394">
        <v>12200</v>
      </c>
      <c r="P394">
        <v>976</v>
      </c>
      <c r="Q394">
        <v>11224</v>
      </c>
      <c r="R394">
        <v>5</v>
      </c>
      <c r="S394" s="15">
        <f t="shared" si="6"/>
        <v>46054</v>
      </c>
    </row>
    <row r="395" spans="1:19">
      <c r="A395" t="s">
        <v>471</v>
      </c>
      <c r="B395" s="2">
        <v>46057</v>
      </c>
      <c r="C395" t="s">
        <v>40</v>
      </c>
      <c r="D395" t="s">
        <v>47</v>
      </c>
      <c r="E395" t="s">
        <v>70</v>
      </c>
      <c r="F395" t="s">
        <v>31</v>
      </c>
      <c r="G395" t="s">
        <v>105</v>
      </c>
      <c r="H395" t="s">
        <v>24</v>
      </c>
      <c r="I395">
        <v>1</v>
      </c>
      <c r="J395">
        <v>2990</v>
      </c>
      <c r="K395">
        <v>0.1</v>
      </c>
      <c r="L395" t="s">
        <v>64</v>
      </c>
      <c r="M395" t="s">
        <v>38</v>
      </c>
      <c r="N395" t="s">
        <v>27</v>
      </c>
      <c r="O395">
        <v>2990</v>
      </c>
      <c r="P395">
        <v>299</v>
      </c>
      <c r="Q395">
        <v>2691</v>
      </c>
      <c r="R395">
        <v>3</v>
      </c>
      <c r="S395" s="15">
        <f t="shared" si="6"/>
        <v>46054</v>
      </c>
    </row>
    <row r="396" spans="1:19">
      <c r="A396" t="s">
        <v>472</v>
      </c>
      <c r="B396" s="2">
        <v>46057</v>
      </c>
      <c r="C396" t="s">
        <v>82</v>
      </c>
      <c r="D396" t="s">
        <v>122</v>
      </c>
      <c r="E396" t="s">
        <v>21</v>
      </c>
      <c r="F396" t="s">
        <v>22</v>
      </c>
      <c r="G396" t="s">
        <v>62</v>
      </c>
      <c r="H396" t="s">
        <v>33</v>
      </c>
      <c r="I396">
        <v>2</v>
      </c>
      <c r="J396">
        <v>1920</v>
      </c>
      <c r="K396">
        <v>0.08</v>
      </c>
      <c r="L396" t="s">
        <v>68</v>
      </c>
      <c r="M396" t="s">
        <v>55</v>
      </c>
      <c r="N396" t="s">
        <v>27</v>
      </c>
      <c r="O396">
        <v>3840</v>
      </c>
      <c r="P396">
        <v>307.2</v>
      </c>
      <c r="Q396">
        <v>3532.8</v>
      </c>
      <c r="R396">
        <v>2</v>
      </c>
      <c r="S396" s="15">
        <f t="shared" si="6"/>
        <v>46054</v>
      </c>
    </row>
    <row r="397" spans="1:19">
      <c r="A397" t="s">
        <v>473</v>
      </c>
      <c r="B397" s="2">
        <v>46059</v>
      </c>
      <c r="C397" t="s">
        <v>40</v>
      </c>
      <c r="D397" t="s">
        <v>115</v>
      </c>
      <c r="E397" t="s">
        <v>42</v>
      </c>
      <c r="F397" t="s">
        <v>22</v>
      </c>
      <c r="G397" t="s">
        <v>43</v>
      </c>
      <c r="H397" t="s">
        <v>33</v>
      </c>
      <c r="I397">
        <v>2</v>
      </c>
      <c r="J397">
        <v>1010</v>
      </c>
      <c r="K397">
        <v>0.03</v>
      </c>
      <c r="L397" t="s">
        <v>34</v>
      </c>
      <c r="M397" t="s">
        <v>35</v>
      </c>
      <c r="N397" t="s">
        <v>27</v>
      </c>
      <c r="O397">
        <v>2020</v>
      </c>
      <c r="P397">
        <v>60.6</v>
      </c>
      <c r="Q397">
        <v>1959.4</v>
      </c>
      <c r="R397">
        <v>3</v>
      </c>
      <c r="S397" s="15">
        <f t="shared" si="6"/>
        <v>46054</v>
      </c>
    </row>
    <row r="398" spans="1:19">
      <c r="A398" t="s">
        <v>474</v>
      </c>
      <c r="B398" s="2">
        <v>46060</v>
      </c>
      <c r="C398" t="s">
        <v>40</v>
      </c>
      <c r="D398" t="s">
        <v>115</v>
      </c>
      <c r="E398" t="s">
        <v>70</v>
      </c>
      <c r="F398" t="s">
        <v>31</v>
      </c>
      <c r="G398" t="s">
        <v>105</v>
      </c>
      <c r="H398" t="s">
        <v>24</v>
      </c>
      <c r="I398">
        <v>2</v>
      </c>
      <c r="J398">
        <v>3150</v>
      </c>
      <c r="K398">
        <v>0</v>
      </c>
      <c r="L398" t="s">
        <v>68</v>
      </c>
      <c r="M398" t="s">
        <v>55</v>
      </c>
      <c r="N398" t="s">
        <v>27</v>
      </c>
      <c r="O398">
        <v>6300</v>
      </c>
      <c r="P398">
        <v>0</v>
      </c>
      <c r="Q398">
        <v>6300</v>
      </c>
      <c r="R398">
        <v>3</v>
      </c>
      <c r="S398" s="15">
        <f t="shared" si="6"/>
        <v>46054</v>
      </c>
    </row>
    <row r="399" spans="1:19">
      <c r="A399" t="s">
        <v>475</v>
      </c>
      <c r="B399" s="2">
        <v>46060</v>
      </c>
      <c r="C399" t="s">
        <v>40</v>
      </c>
      <c r="D399" t="s">
        <v>47</v>
      </c>
      <c r="E399" t="s">
        <v>42</v>
      </c>
      <c r="F399" t="s">
        <v>53</v>
      </c>
      <c r="G399" t="s">
        <v>101</v>
      </c>
      <c r="H399" t="s">
        <v>33</v>
      </c>
      <c r="I399">
        <v>1</v>
      </c>
      <c r="J399">
        <v>1710</v>
      </c>
      <c r="K399">
        <v>0.05</v>
      </c>
      <c r="L399" t="s">
        <v>68</v>
      </c>
      <c r="M399" t="s">
        <v>740</v>
      </c>
      <c r="N399" t="s">
        <v>27</v>
      </c>
      <c r="O399">
        <v>1710</v>
      </c>
      <c r="P399">
        <v>85.5</v>
      </c>
      <c r="Q399">
        <v>1624.5</v>
      </c>
      <c r="R399">
        <v>3</v>
      </c>
      <c r="S399" s="15">
        <f t="shared" si="6"/>
        <v>46054</v>
      </c>
    </row>
    <row r="400" spans="1:19">
      <c r="A400" t="s">
        <v>476</v>
      </c>
      <c r="B400" s="2">
        <v>46060</v>
      </c>
      <c r="C400" t="s">
        <v>29</v>
      </c>
      <c r="D400" t="s">
        <v>30</v>
      </c>
      <c r="E400" t="s">
        <v>42</v>
      </c>
      <c r="F400" t="s">
        <v>31</v>
      </c>
      <c r="G400" t="s">
        <v>37</v>
      </c>
      <c r="H400" t="s">
        <v>24</v>
      </c>
      <c r="I400">
        <v>1</v>
      </c>
      <c r="J400">
        <v>62130</v>
      </c>
      <c r="K400">
        <v>0.1</v>
      </c>
      <c r="L400" t="s">
        <v>64</v>
      </c>
      <c r="M400" t="s">
        <v>38</v>
      </c>
      <c r="N400" t="s">
        <v>27</v>
      </c>
      <c r="O400">
        <v>62130</v>
      </c>
      <c r="P400">
        <v>6213</v>
      </c>
      <c r="Q400">
        <v>55917</v>
      </c>
      <c r="R400">
        <v>2</v>
      </c>
      <c r="S400" s="15">
        <f t="shared" si="6"/>
        <v>46054</v>
      </c>
    </row>
    <row r="401" spans="1:19">
      <c r="A401" t="s">
        <v>477</v>
      </c>
      <c r="B401" s="2">
        <v>46061</v>
      </c>
      <c r="C401" t="s">
        <v>19</v>
      </c>
      <c r="D401" t="s">
        <v>57</v>
      </c>
      <c r="E401" t="s">
        <v>70</v>
      </c>
      <c r="F401" t="s">
        <v>22</v>
      </c>
      <c r="G401" t="s">
        <v>105</v>
      </c>
      <c r="H401" t="s">
        <v>24</v>
      </c>
      <c r="I401">
        <v>1</v>
      </c>
      <c r="J401">
        <v>3370</v>
      </c>
      <c r="K401">
        <v>0.05</v>
      </c>
      <c r="L401" t="s">
        <v>68</v>
      </c>
      <c r="M401" t="s">
        <v>71</v>
      </c>
      <c r="N401" t="s">
        <v>27</v>
      </c>
      <c r="O401">
        <v>3370</v>
      </c>
      <c r="P401">
        <v>168.5</v>
      </c>
      <c r="Q401">
        <v>3201.5</v>
      </c>
      <c r="R401">
        <v>1</v>
      </c>
      <c r="S401" s="15">
        <f t="shared" si="6"/>
        <v>46054</v>
      </c>
    </row>
    <row r="402" spans="1:19">
      <c r="A402" t="s">
        <v>478</v>
      </c>
      <c r="B402" s="2">
        <v>46062</v>
      </c>
      <c r="C402" t="s">
        <v>29</v>
      </c>
      <c r="D402" t="s">
        <v>78</v>
      </c>
      <c r="E402" t="s">
        <v>21</v>
      </c>
      <c r="F402" t="s">
        <v>53</v>
      </c>
      <c r="G402" t="s">
        <v>95</v>
      </c>
      <c r="H402" t="s">
        <v>24</v>
      </c>
      <c r="I402">
        <v>3</v>
      </c>
      <c r="J402">
        <v>22390</v>
      </c>
      <c r="K402">
        <v>0.03</v>
      </c>
      <c r="L402" t="s">
        <v>64</v>
      </c>
      <c r="M402" t="s">
        <v>26</v>
      </c>
      <c r="N402" t="s">
        <v>27</v>
      </c>
      <c r="O402">
        <v>67170</v>
      </c>
      <c r="P402">
        <v>2015.1</v>
      </c>
      <c r="Q402">
        <v>65154.9</v>
      </c>
      <c r="R402">
        <v>4</v>
      </c>
      <c r="S402" s="15">
        <f t="shared" si="6"/>
        <v>46054</v>
      </c>
    </row>
    <row r="403" spans="1:19">
      <c r="A403" t="s">
        <v>479</v>
      </c>
      <c r="B403" s="2">
        <v>46062</v>
      </c>
      <c r="C403" t="s">
        <v>40</v>
      </c>
      <c r="D403" t="s">
        <v>89</v>
      </c>
      <c r="E403" t="s">
        <v>42</v>
      </c>
      <c r="F403" t="s">
        <v>31</v>
      </c>
      <c r="G403" t="s">
        <v>92</v>
      </c>
      <c r="H403" t="s">
        <v>24</v>
      </c>
      <c r="I403">
        <v>2</v>
      </c>
      <c r="J403">
        <v>16940</v>
      </c>
      <c r="K403">
        <v>0.15</v>
      </c>
      <c r="L403" t="s">
        <v>54</v>
      </c>
      <c r="M403" t="s">
        <v>50</v>
      </c>
      <c r="N403" t="s">
        <v>27</v>
      </c>
      <c r="O403">
        <v>33880</v>
      </c>
      <c r="P403">
        <v>5082</v>
      </c>
      <c r="Q403">
        <v>28798</v>
      </c>
      <c r="R403">
        <v>5</v>
      </c>
      <c r="S403" s="15">
        <f t="shared" si="6"/>
        <v>46054</v>
      </c>
    </row>
    <row r="404" spans="1:19">
      <c r="A404" t="s">
        <v>480</v>
      </c>
      <c r="B404" s="2">
        <v>46064</v>
      </c>
      <c r="C404" t="s">
        <v>40</v>
      </c>
      <c r="D404" t="s">
        <v>41</v>
      </c>
      <c r="E404" t="s">
        <v>42</v>
      </c>
      <c r="F404" t="s">
        <v>53</v>
      </c>
      <c r="G404" t="s">
        <v>43</v>
      </c>
      <c r="H404" t="s">
        <v>33</v>
      </c>
      <c r="I404">
        <v>3</v>
      </c>
      <c r="J404">
        <v>940</v>
      </c>
      <c r="K404">
        <v>0</v>
      </c>
      <c r="L404" t="s">
        <v>64</v>
      </c>
      <c r="M404" t="s">
        <v>71</v>
      </c>
      <c r="N404" t="s">
        <v>45</v>
      </c>
      <c r="O404">
        <v>0</v>
      </c>
      <c r="P404">
        <v>0</v>
      </c>
      <c r="Q404">
        <v>0</v>
      </c>
      <c r="S404" s="15">
        <f t="shared" si="6"/>
        <v>46054</v>
      </c>
    </row>
    <row r="405" spans="1:19">
      <c r="A405" t="s">
        <v>481</v>
      </c>
      <c r="B405" s="2">
        <v>46064</v>
      </c>
      <c r="C405" t="s">
        <v>82</v>
      </c>
      <c r="D405" t="s">
        <v>83</v>
      </c>
      <c r="E405" t="s">
        <v>42</v>
      </c>
      <c r="F405" t="s">
        <v>53</v>
      </c>
      <c r="G405" t="s">
        <v>23</v>
      </c>
      <c r="H405" t="s">
        <v>24</v>
      </c>
      <c r="I405">
        <v>3</v>
      </c>
      <c r="J405">
        <v>26790</v>
      </c>
      <c r="K405">
        <v>0.1</v>
      </c>
      <c r="L405" t="s">
        <v>64</v>
      </c>
      <c r="M405" t="s">
        <v>71</v>
      </c>
      <c r="N405" t="s">
        <v>45</v>
      </c>
      <c r="O405">
        <v>0</v>
      </c>
      <c r="P405">
        <v>0</v>
      </c>
      <c r="Q405">
        <v>0</v>
      </c>
      <c r="S405" s="15">
        <f t="shared" si="6"/>
        <v>46054</v>
      </c>
    </row>
    <row r="406" spans="1:19">
      <c r="A406" t="s">
        <v>482</v>
      </c>
      <c r="B406" s="2">
        <v>46065</v>
      </c>
      <c r="C406" t="s">
        <v>40</v>
      </c>
      <c r="D406" t="s">
        <v>89</v>
      </c>
      <c r="E406" t="s">
        <v>42</v>
      </c>
      <c r="F406" t="s">
        <v>53</v>
      </c>
      <c r="G406" t="s">
        <v>105</v>
      </c>
      <c r="H406" t="s">
        <v>24</v>
      </c>
      <c r="I406">
        <v>5</v>
      </c>
      <c r="J406">
        <v>3180</v>
      </c>
      <c r="K406">
        <v>0</v>
      </c>
      <c r="L406" t="s">
        <v>68</v>
      </c>
      <c r="M406" t="s">
        <v>71</v>
      </c>
      <c r="N406" t="s">
        <v>27</v>
      </c>
      <c r="O406">
        <v>15900</v>
      </c>
      <c r="P406">
        <v>0</v>
      </c>
      <c r="Q406">
        <v>15900</v>
      </c>
      <c r="R406">
        <v>2</v>
      </c>
      <c r="S406" s="15">
        <f t="shared" si="6"/>
        <v>46054</v>
      </c>
    </row>
    <row r="407" spans="1:19">
      <c r="A407" t="s">
        <v>483</v>
      </c>
      <c r="B407" s="2">
        <v>46067</v>
      </c>
      <c r="C407" t="s">
        <v>40</v>
      </c>
      <c r="D407" t="s">
        <v>115</v>
      </c>
      <c r="E407" t="s">
        <v>21</v>
      </c>
      <c r="F407" t="s">
        <v>22</v>
      </c>
      <c r="G407" t="s">
        <v>32</v>
      </c>
      <c r="H407" t="s">
        <v>33</v>
      </c>
      <c r="I407">
        <v>3</v>
      </c>
      <c r="J407">
        <v>2470</v>
      </c>
      <c r="K407">
        <v>0.03</v>
      </c>
      <c r="L407" t="s">
        <v>25</v>
      </c>
      <c r="M407" t="s">
        <v>26</v>
      </c>
      <c r="N407" t="s">
        <v>27</v>
      </c>
      <c r="O407">
        <v>7410</v>
      </c>
      <c r="P407">
        <v>222.3</v>
      </c>
      <c r="Q407">
        <v>7187.7</v>
      </c>
      <c r="R407">
        <v>2</v>
      </c>
      <c r="S407" s="15">
        <f t="shared" si="6"/>
        <v>46054</v>
      </c>
    </row>
    <row r="408" spans="1:19">
      <c r="A408" t="s">
        <v>484</v>
      </c>
      <c r="B408" s="2">
        <v>46067</v>
      </c>
      <c r="C408" t="s">
        <v>29</v>
      </c>
      <c r="D408" t="s">
        <v>85</v>
      </c>
      <c r="E408" t="s">
        <v>42</v>
      </c>
      <c r="F408" t="s">
        <v>22</v>
      </c>
      <c r="G408" t="s">
        <v>32</v>
      </c>
      <c r="H408" t="s">
        <v>33</v>
      </c>
      <c r="I408">
        <v>4</v>
      </c>
      <c r="J408">
        <v>2540</v>
      </c>
      <c r="K408">
        <v>0.05</v>
      </c>
      <c r="L408" t="s">
        <v>25</v>
      </c>
      <c r="M408" t="s">
        <v>71</v>
      </c>
      <c r="N408" t="s">
        <v>130</v>
      </c>
      <c r="O408">
        <v>10160</v>
      </c>
      <c r="P408">
        <v>508</v>
      </c>
      <c r="Q408">
        <v>9652</v>
      </c>
      <c r="R408">
        <v>4</v>
      </c>
      <c r="S408" s="15">
        <f t="shared" si="6"/>
        <v>46054</v>
      </c>
    </row>
    <row r="409" spans="1:19">
      <c r="A409" t="s">
        <v>485</v>
      </c>
      <c r="B409" s="2">
        <v>46067</v>
      </c>
      <c r="C409" t="s">
        <v>82</v>
      </c>
      <c r="D409" t="s">
        <v>178</v>
      </c>
      <c r="E409" t="s">
        <v>70</v>
      </c>
      <c r="F409" t="s">
        <v>22</v>
      </c>
      <c r="G409" t="s">
        <v>95</v>
      </c>
      <c r="H409" t="s">
        <v>24</v>
      </c>
      <c r="I409">
        <v>1</v>
      </c>
      <c r="J409">
        <v>21560</v>
      </c>
      <c r="K409">
        <v>0</v>
      </c>
      <c r="L409" t="s">
        <v>64</v>
      </c>
      <c r="M409" t="s">
        <v>38</v>
      </c>
      <c r="N409" t="s">
        <v>27</v>
      </c>
      <c r="O409">
        <v>21560</v>
      </c>
      <c r="P409">
        <v>0</v>
      </c>
      <c r="Q409">
        <v>21560</v>
      </c>
      <c r="R409">
        <v>7</v>
      </c>
      <c r="S409" s="15">
        <f t="shared" si="6"/>
        <v>46054</v>
      </c>
    </row>
    <row r="410" spans="1:19">
      <c r="A410" t="s">
        <v>486</v>
      </c>
      <c r="B410" s="2">
        <v>46067</v>
      </c>
      <c r="C410" t="s">
        <v>29</v>
      </c>
      <c r="D410" t="s">
        <v>61</v>
      </c>
      <c r="E410" t="s">
        <v>21</v>
      </c>
      <c r="F410" t="s">
        <v>22</v>
      </c>
      <c r="G410" t="s">
        <v>73</v>
      </c>
      <c r="H410" t="s">
        <v>74</v>
      </c>
      <c r="I410">
        <v>3</v>
      </c>
      <c r="J410">
        <v>12230</v>
      </c>
      <c r="K410">
        <v>0.03</v>
      </c>
      <c r="L410" t="s">
        <v>64</v>
      </c>
      <c r="M410" t="s">
        <v>26</v>
      </c>
      <c r="N410" t="s">
        <v>45</v>
      </c>
      <c r="O410">
        <v>0</v>
      </c>
      <c r="P410">
        <v>0</v>
      </c>
      <c r="Q410">
        <v>0</v>
      </c>
      <c r="S410" s="15">
        <f t="shared" si="6"/>
        <v>46054</v>
      </c>
    </row>
    <row r="411" spans="1:19">
      <c r="A411" t="s">
        <v>487</v>
      </c>
      <c r="B411" s="2">
        <v>46067</v>
      </c>
      <c r="C411" t="s">
        <v>19</v>
      </c>
      <c r="D411" t="s">
        <v>20</v>
      </c>
      <c r="E411" t="s">
        <v>21</v>
      </c>
      <c r="F411" t="s">
        <v>31</v>
      </c>
      <c r="G411" t="s">
        <v>105</v>
      </c>
      <c r="H411" t="s">
        <v>24</v>
      </c>
      <c r="I411">
        <v>4</v>
      </c>
      <c r="J411">
        <v>3050</v>
      </c>
      <c r="K411">
        <v>0.03</v>
      </c>
      <c r="L411" t="s">
        <v>64</v>
      </c>
      <c r="M411" t="s">
        <v>26</v>
      </c>
      <c r="N411" t="s">
        <v>27</v>
      </c>
      <c r="O411">
        <v>12200</v>
      </c>
      <c r="P411">
        <v>366</v>
      </c>
      <c r="Q411">
        <v>11834</v>
      </c>
      <c r="R411">
        <v>3</v>
      </c>
      <c r="S411" s="15">
        <f t="shared" si="6"/>
        <v>46054</v>
      </c>
    </row>
    <row r="412" spans="1:19">
      <c r="A412" t="s">
        <v>488</v>
      </c>
      <c r="B412" s="2">
        <v>46068</v>
      </c>
      <c r="C412" t="s">
        <v>40</v>
      </c>
      <c r="D412" t="s">
        <v>41</v>
      </c>
      <c r="E412" t="s">
        <v>42</v>
      </c>
      <c r="F412" t="s">
        <v>22</v>
      </c>
      <c r="G412" t="s">
        <v>37</v>
      </c>
      <c r="H412" t="s">
        <v>24</v>
      </c>
      <c r="I412">
        <v>5</v>
      </c>
      <c r="J412">
        <v>61530</v>
      </c>
      <c r="K412">
        <v>0.15</v>
      </c>
      <c r="L412" t="s">
        <v>68</v>
      </c>
      <c r="M412" t="s">
        <v>38</v>
      </c>
      <c r="N412" t="s">
        <v>27</v>
      </c>
      <c r="O412">
        <v>307650</v>
      </c>
      <c r="P412">
        <v>46147.5</v>
      </c>
      <c r="Q412">
        <v>261502.5</v>
      </c>
      <c r="R412">
        <v>3</v>
      </c>
      <c r="S412" s="15">
        <f t="shared" si="6"/>
        <v>46054</v>
      </c>
    </row>
    <row r="413" spans="1:19">
      <c r="A413" t="s">
        <v>489</v>
      </c>
      <c r="B413" s="2">
        <v>46068</v>
      </c>
      <c r="C413" t="s">
        <v>40</v>
      </c>
      <c r="D413" t="s">
        <v>41</v>
      </c>
      <c r="E413" t="s">
        <v>42</v>
      </c>
      <c r="F413" t="s">
        <v>31</v>
      </c>
      <c r="G413" t="s">
        <v>101</v>
      </c>
      <c r="H413" t="s">
        <v>33</v>
      </c>
      <c r="I413">
        <v>1</v>
      </c>
      <c r="J413">
        <v>1720</v>
      </c>
      <c r="K413">
        <v>0.08</v>
      </c>
      <c r="L413" t="s">
        <v>64</v>
      </c>
      <c r="M413" t="s">
        <v>44</v>
      </c>
      <c r="N413" t="s">
        <v>27</v>
      </c>
      <c r="O413">
        <v>1720</v>
      </c>
      <c r="P413">
        <v>137.6</v>
      </c>
      <c r="Q413">
        <v>1582.4</v>
      </c>
      <c r="R413">
        <v>3</v>
      </c>
      <c r="S413" s="15">
        <f t="shared" si="6"/>
        <v>46054</v>
      </c>
    </row>
    <row r="414" spans="1:19">
      <c r="A414" t="s">
        <v>490</v>
      </c>
      <c r="B414" s="2">
        <v>46068</v>
      </c>
      <c r="C414" t="s">
        <v>40</v>
      </c>
      <c r="D414" t="s">
        <v>41</v>
      </c>
      <c r="E414" t="s">
        <v>42</v>
      </c>
      <c r="F414" t="s">
        <v>31</v>
      </c>
      <c r="G414" t="s">
        <v>73</v>
      </c>
      <c r="H414" t="s">
        <v>74</v>
      </c>
      <c r="I414">
        <v>2</v>
      </c>
      <c r="J414">
        <v>11950</v>
      </c>
      <c r="K414">
        <v>0.03</v>
      </c>
      <c r="L414" t="s">
        <v>54</v>
      </c>
      <c r="M414" t="s">
        <v>26</v>
      </c>
      <c r="N414" t="s">
        <v>27</v>
      </c>
      <c r="O414">
        <v>23900</v>
      </c>
      <c r="P414">
        <v>717</v>
      </c>
      <c r="Q414">
        <v>23183</v>
      </c>
      <c r="R414">
        <v>2</v>
      </c>
      <c r="S414" s="15">
        <f t="shared" si="6"/>
        <v>46054</v>
      </c>
    </row>
    <row r="415" spans="1:19">
      <c r="A415" t="s">
        <v>491</v>
      </c>
      <c r="B415" s="2">
        <v>46069</v>
      </c>
      <c r="C415" t="s">
        <v>29</v>
      </c>
      <c r="D415" t="s">
        <v>30</v>
      </c>
      <c r="E415" t="s">
        <v>21</v>
      </c>
      <c r="F415" t="s">
        <v>22</v>
      </c>
      <c r="G415" t="s">
        <v>101</v>
      </c>
      <c r="H415" t="s">
        <v>33</v>
      </c>
      <c r="I415">
        <v>1</v>
      </c>
      <c r="J415">
        <v>1800</v>
      </c>
      <c r="K415">
        <v>0</v>
      </c>
      <c r="L415" t="s">
        <v>64</v>
      </c>
      <c r="M415" t="s">
        <v>38</v>
      </c>
      <c r="N415" t="s">
        <v>27</v>
      </c>
      <c r="O415">
        <v>1800</v>
      </c>
      <c r="P415">
        <v>0</v>
      </c>
      <c r="Q415">
        <v>1800</v>
      </c>
      <c r="R415">
        <v>7</v>
      </c>
      <c r="S415" s="15">
        <f t="shared" si="6"/>
        <v>46054</v>
      </c>
    </row>
    <row r="416" spans="1:19">
      <c r="A416" t="s">
        <v>492</v>
      </c>
      <c r="B416" s="2">
        <v>46070</v>
      </c>
      <c r="C416" t="s">
        <v>29</v>
      </c>
      <c r="D416" t="s">
        <v>30</v>
      </c>
      <c r="E416" t="s">
        <v>42</v>
      </c>
      <c r="F416" t="s">
        <v>22</v>
      </c>
      <c r="G416" t="s">
        <v>105</v>
      </c>
      <c r="H416" t="s">
        <v>24</v>
      </c>
      <c r="I416">
        <v>3</v>
      </c>
      <c r="J416">
        <v>3110</v>
      </c>
      <c r="K416">
        <v>0</v>
      </c>
      <c r="L416" t="s">
        <v>68</v>
      </c>
      <c r="M416" t="s">
        <v>35</v>
      </c>
      <c r="N416" t="s">
        <v>130</v>
      </c>
      <c r="O416">
        <v>9330</v>
      </c>
      <c r="P416">
        <v>0</v>
      </c>
      <c r="Q416">
        <v>9330</v>
      </c>
      <c r="R416">
        <v>3</v>
      </c>
      <c r="S416" s="15">
        <f t="shared" si="6"/>
        <v>46054</v>
      </c>
    </row>
    <row r="417" spans="1:19">
      <c r="A417" t="s">
        <v>493</v>
      </c>
      <c r="B417" s="2">
        <v>46072</v>
      </c>
      <c r="C417" t="s">
        <v>29</v>
      </c>
      <c r="D417" t="s">
        <v>78</v>
      </c>
      <c r="E417" t="s">
        <v>21</v>
      </c>
      <c r="F417" t="s">
        <v>53</v>
      </c>
      <c r="G417" t="s">
        <v>73</v>
      </c>
      <c r="H417" t="s">
        <v>74</v>
      </c>
      <c r="I417">
        <v>3</v>
      </c>
      <c r="J417">
        <v>10850</v>
      </c>
      <c r="K417">
        <v>0</v>
      </c>
      <c r="L417" t="s">
        <v>64</v>
      </c>
      <c r="M417" t="s">
        <v>38</v>
      </c>
      <c r="N417" t="s">
        <v>27</v>
      </c>
      <c r="O417">
        <v>32550</v>
      </c>
      <c r="P417">
        <v>0</v>
      </c>
      <c r="Q417">
        <v>32550</v>
      </c>
      <c r="R417">
        <v>7</v>
      </c>
      <c r="S417" s="15">
        <f t="shared" si="6"/>
        <v>46054</v>
      </c>
    </row>
    <row r="418" spans="1:19">
      <c r="A418" t="s">
        <v>494</v>
      </c>
      <c r="B418" s="2">
        <v>46072</v>
      </c>
      <c r="C418" t="s">
        <v>40</v>
      </c>
      <c r="D418" t="s">
        <v>47</v>
      </c>
      <c r="E418" t="s">
        <v>42</v>
      </c>
      <c r="F418" t="s">
        <v>22</v>
      </c>
      <c r="G418" t="s">
        <v>37</v>
      </c>
      <c r="H418" t="s">
        <v>24</v>
      </c>
      <c r="I418">
        <v>1</v>
      </c>
      <c r="J418">
        <v>60130</v>
      </c>
      <c r="K418">
        <v>0.08</v>
      </c>
      <c r="L418" t="s">
        <v>68</v>
      </c>
      <c r="M418" t="s">
        <v>71</v>
      </c>
      <c r="N418" t="s">
        <v>27</v>
      </c>
      <c r="O418">
        <v>60130</v>
      </c>
      <c r="P418">
        <v>4810.3999999999996</v>
      </c>
      <c r="Q418">
        <v>55319.6</v>
      </c>
      <c r="R418">
        <v>4</v>
      </c>
      <c r="S418" s="15">
        <f t="shared" si="6"/>
        <v>46054</v>
      </c>
    </row>
    <row r="419" spans="1:19">
      <c r="A419" t="s">
        <v>495</v>
      </c>
      <c r="B419" s="2">
        <v>46072</v>
      </c>
      <c r="C419" t="s">
        <v>40</v>
      </c>
      <c r="D419" t="s">
        <v>41</v>
      </c>
      <c r="E419" t="s">
        <v>42</v>
      </c>
      <c r="F419" t="s">
        <v>31</v>
      </c>
      <c r="G419" t="s">
        <v>58</v>
      </c>
      <c r="H419" t="s">
        <v>59</v>
      </c>
      <c r="I419">
        <v>2</v>
      </c>
      <c r="J419">
        <v>7380</v>
      </c>
      <c r="K419">
        <v>0</v>
      </c>
      <c r="L419" t="s">
        <v>64</v>
      </c>
      <c r="M419" t="s">
        <v>50</v>
      </c>
      <c r="N419" t="s">
        <v>27</v>
      </c>
      <c r="O419">
        <v>14760</v>
      </c>
      <c r="P419">
        <v>0</v>
      </c>
      <c r="Q419">
        <v>14760</v>
      </c>
      <c r="R419">
        <v>3</v>
      </c>
      <c r="S419" s="15">
        <f t="shared" si="6"/>
        <v>46054</v>
      </c>
    </row>
    <row r="420" spans="1:19">
      <c r="A420" t="s">
        <v>496</v>
      </c>
      <c r="B420" s="2">
        <v>46074</v>
      </c>
      <c r="C420" t="s">
        <v>19</v>
      </c>
      <c r="D420" t="s">
        <v>20</v>
      </c>
      <c r="E420" t="s">
        <v>42</v>
      </c>
      <c r="F420" t="s">
        <v>31</v>
      </c>
      <c r="G420" t="s">
        <v>48</v>
      </c>
      <c r="H420" t="s">
        <v>49</v>
      </c>
      <c r="I420">
        <v>2</v>
      </c>
      <c r="J420">
        <v>13120</v>
      </c>
      <c r="K420">
        <v>0.08</v>
      </c>
      <c r="L420" t="s">
        <v>54</v>
      </c>
      <c r="M420" t="s">
        <v>44</v>
      </c>
      <c r="N420" t="s">
        <v>27</v>
      </c>
      <c r="O420">
        <v>26240</v>
      </c>
      <c r="P420">
        <v>2099.1999999999998</v>
      </c>
      <c r="Q420">
        <v>24140.799999999999</v>
      </c>
      <c r="R420">
        <v>4</v>
      </c>
      <c r="S420" s="15">
        <f t="shared" si="6"/>
        <v>46054</v>
      </c>
    </row>
    <row r="421" spans="1:19">
      <c r="A421" t="s">
        <v>497</v>
      </c>
      <c r="B421" s="2">
        <v>46074</v>
      </c>
      <c r="C421" t="s">
        <v>82</v>
      </c>
      <c r="D421" t="s">
        <v>122</v>
      </c>
      <c r="E421" t="s">
        <v>42</v>
      </c>
      <c r="F421" t="s">
        <v>22</v>
      </c>
      <c r="G421" t="s">
        <v>149</v>
      </c>
      <c r="H421" t="s">
        <v>33</v>
      </c>
      <c r="I421">
        <v>1</v>
      </c>
      <c r="J421">
        <v>3830</v>
      </c>
      <c r="K421">
        <v>0.1</v>
      </c>
      <c r="L421" t="s">
        <v>68</v>
      </c>
      <c r="M421" t="s">
        <v>26</v>
      </c>
      <c r="N421" t="s">
        <v>27</v>
      </c>
      <c r="O421">
        <v>3830</v>
      </c>
      <c r="P421">
        <v>383</v>
      </c>
      <c r="Q421">
        <v>3447</v>
      </c>
      <c r="R421">
        <v>2</v>
      </c>
      <c r="S421" s="15">
        <f t="shared" si="6"/>
        <v>46054</v>
      </c>
    </row>
    <row r="422" spans="1:19">
      <c r="A422" t="s">
        <v>498</v>
      </c>
      <c r="B422" s="2">
        <v>46074</v>
      </c>
      <c r="C422" t="s">
        <v>29</v>
      </c>
      <c r="D422" t="s">
        <v>78</v>
      </c>
      <c r="E422" t="s">
        <v>21</v>
      </c>
      <c r="F422" t="s">
        <v>31</v>
      </c>
      <c r="G422" t="s">
        <v>43</v>
      </c>
      <c r="H422" t="s">
        <v>33</v>
      </c>
      <c r="I422">
        <v>3</v>
      </c>
      <c r="J422">
        <v>970</v>
      </c>
      <c r="K422">
        <v>0.03</v>
      </c>
      <c r="L422" t="s">
        <v>34</v>
      </c>
      <c r="M422" t="s">
        <v>55</v>
      </c>
      <c r="N422" t="s">
        <v>27</v>
      </c>
      <c r="O422">
        <v>2910</v>
      </c>
      <c r="P422">
        <v>87.3</v>
      </c>
      <c r="Q422">
        <v>2822.7</v>
      </c>
      <c r="R422">
        <v>6</v>
      </c>
      <c r="S422" s="15">
        <f t="shared" si="6"/>
        <v>46054</v>
      </c>
    </row>
    <row r="423" spans="1:19">
      <c r="A423" t="s">
        <v>499</v>
      </c>
      <c r="B423" s="2">
        <v>46076</v>
      </c>
      <c r="C423" t="s">
        <v>29</v>
      </c>
      <c r="D423" t="s">
        <v>78</v>
      </c>
      <c r="E423" t="s">
        <v>42</v>
      </c>
      <c r="F423" t="s">
        <v>22</v>
      </c>
      <c r="G423" t="s">
        <v>105</v>
      </c>
      <c r="H423" t="s">
        <v>24</v>
      </c>
      <c r="I423">
        <v>4</v>
      </c>
      <c r="J423">
        <v>2990</v>
      </c>
      <c r="K423">
        <v>0</v>
      </c>
      <c r="L423" t="s">
        <v>64</v>
      </c>
      <c r="M423" t="s">
        <v>44</v>
      </c>
      <c r="N423" t="s">
        <v>27</v>
      </c>
      <c r="O423">
        <v>11960</v>
      </c>
      <c r="P423">
        <v>0</v>
      </c>
      <c r="Q423">
        <v>11960</v>
      </c>
      <c r="R423">
        <v>2</v>
      </c>
      <c r="S423" s="15">
        <f t="shared" si="6"/>
        <v>46054</v>
      </c>
    </row>
    <row r="424" spans="1:19">
      <c r="A424" t="s">
        <v>500</v>
      </c>
      <c r="B424" s="2">
        <v>46076</v>
      </c>
      <c r="C424" t="s">
        <v>40</v>
      </c>
      <c r="D424" t="s">
        <v>89</v>
      </c>
      <c r="E424" t="s">
        <v>42</v>
      </c>
      <c r="F424" t="s">
        <v>22</v>
      </c>
      <c r="G424" t="s">
        <v>48</v>
      </c>
      <c r="H424" t="s">
        <v>49</v>
      </c>
      <c r="I424">
        <v>2</v>
      </c>
      <c r="J424">
        <v>13360</v>
      </c>
      <c r="K424">
        <v>0.05</v>
      </c>
      <c r="L424" t="s">
        <v>64</v>
      </c>
      <c r="M424" t="s">
        <v>66</v>
      </c>
      <c r="N424" t="s">
        <v>27</v>
      </c>
      <c r="O424">
        <v>26720</v>
      </c>
      <c r="P424">
        <v>1336</v>
      </c>
      <c r="Q424">
        <v>25384</v>
      </c>
      <c r="R424">
        <v>2</v>
      </c>
      <c r="S424" s="15">
        <f t="shared" si="6"/>
        <v>46054</v>
      </c>
    </row>
    <row r="425" spans="1:19">
      <c r="A425" t="s">
        <v>501</v>
      </c>
      <c r="B425" s="2">
        <v>46077</v>
      </c>
      <c r="C425" t="s">
        <v>40</v>
      </c>
      <c r="D425" t="s">
        <v>41</v>
      </c>
      <c r="E425" t="s">
        <v>70</v>
      </c>
      <c r="F425" t="s">
        <v>22</v>
      </c>
      <c r="G425" t="s">
        <v>32</v>
      </c>
      <c r="H425" t="s">
        <v>33</v>
      </c>
      <c r="I425">
        <v>5</v>
      </c>
      <c r="J425">
        <v>2240</v>
      </c>
      <c r="K425">
        <v>0.05</v>
      </c>
      <c r="L425" t="s">
        <v>64</v>
      </c>
      <c r="M425" t="s">
        <v>55</v>
      </c>
      <c r="N425" t="s">
        <v>27</v>
      </c>
      <c r="O425">
        <v>11200</v>
      </c>
      <c r="P425">
        <v>560</v>
      </c>
      <c r="Q425">
        <v>10640</v>
      </c>
      <c r="R425">
        <v>1</v>
      </c>
      <c r="S425" s="15">
        <f t="shared" si="6"/>
        <v>46054</v>
      </c>
    </row>
    <row r="426" spans="1:19">
      <c r="A426" t="s">
        <v>502</v>
      </c>
      <c r="B426" s="2">
        <v>46077</v>
      </c>
      <c r="C426" t="s">
        <v>19</v>
      </c>
      <c r="D426" t="s">
        <v>103</v>
      </c>
      <c r="E426" t="s">
        <v>42</v>
      </c>
      <c r="F426" t="s">
        <v>22</v>
      </c>
      <c r="G426" t="s">
        <v>152</v>
      </c>
      <c r="H426" t="s">
        <v>74</v>
      </c>
      <c r="I426">
        <v>3</v>
      </c>
      <c r="J426">
        <v>14190</v>
      </c>
      <c r="K426">
        <v>0.08</v>
      </c>
      <c r="L426" t="s">
        <v>34</v>
      </c>
      <c r="M426" t="s">
        <v>66</v>
      </c>
      <c r="N426" t="s">
        <v>27</v>
      </c>
      <c r="O426">
        <v>42570</v>
      </c>
      <c r="P426">
        <v>3405.6</v>
      </c>
      <c r="Q426">
        <v>39164.400000000001</v>
      </c>
      <c r="R426">
        <v>2</v>
      </c>
      <c r="S426" s="15">
        <f t="shared" si="6"/>
        <v>46054</v>
      </c>
    </row>
    <row r="427" spans="1:19">
      <c r="A427" t="s">
        <v>503</v>
      </c>
      <c r="B427" s="2">
        <v>46077</v>
      </c>
      <c r="C427" t="s">
        <v>40</v>
      </c>
      <c r="D427" t="s">
        <v>89</v>
      </c>
      <c r="E427" t="s">
        <v>21</v>
      </c>
      <c r="F427" t="s">
        <v>22</v>
      </c>
      <c r="G427" t="s">
        <v>152</v>
      </c>
      <c r="H427" t="s">
        <v>74</v>
      </c>
      <c r="I427">
        <v>2</v>
      </c>
      <c r="J427">
        <v>14660</v>
      </c>
      <c r="K427">
        <v>0.05</v>
      </c>
      <c r="L427" t="s">
        <v>54</v>
      </c>
      <c r="M427" t="s">
        <v>44</v>
      </c>
      <c r="N427" t="s">
        <v>27</v>
      </c>
      <c r="O427">
        <v>29320</v>
      </c>
      <c r="P427">
        <v>1466</v>
      </c>
      <c r="Q427">
        <v>27854</v>
      </c>
      <c r="R427">
        <v>2</v>
      </c>
      <c r="S427" s="15">
        <f t="shared" si="6"/>
        <v>46054</v>
      </c>
    </row>
    <row r="428" spans="1:19">
      <c r="A428" t="s">
        <v>504</v>
      </c>
      <c r="B428" s="2">
        <v>46077</v>
      </c>
      <c r="C428" t="s">
        <v>19</v>
      </c>
      <c r="D428" t="s">
        <v>103</v>
      </c>
      <c r="E428" t="s">
        <v>42</v>
      </c>
      <c r="F428" t="s">
        <v>22</v>
      </c>
      <c r="G428" t="s">
        <v>95</v>
      </c>
      <c r="H428" t="s">
        <v>24</v>
      </c>
      <c r="I428">
        <v>2</v>
      </c>
      <c r="J428">
        <v>22510</v>
      </c>
      <c r="K428">
        <v>0.05</v>
      </c>
      <c r="L428" t="s">
        <v>68</v>
      </c>
      <c r="M428" t="s">
        <v>66</v>
      </c>
      <c r="N428" t="s">
        <v>27</v>
      </c>
      <c r="O428">
        <v>45020</v>
      </c>
      <c r="P428">
        <v>2251</v>
      </c>
      <c r="Q428">
        <v>42769</v>
      </c>
      <c r="R428">
        <v>2</v>
      </c>
      <c r="S428" s="15">
        <f t="shared" si="6"/>
        <v>46054</v>
      </c>
    </row>
    <row r="429" spans="1:19">
      <c r="A429" t="s">
        <v>505</v>
      </c>
      <c r="B429" s="2">
        <v>46077</v>
      </c>
      <c r="C429" t="s">
        <v>40</v>
      </c>
      <c r="D429" t="s">
        <v>89</v>
      </c>
      <c r="E429" t="s">
        <v>21</v>
      </c>
      <c r="F429" t="s">
        <v>53</v>
      </c>
      <c r="G429" t="s">
        <v>152</v>
      </c>
      <c r="H429" t="s">
        <v>74</v>
      </c>
      <c r="I429">
        <v>2</v>
      </c>
      <c r="J429">
        <v>14620</v>
      </c>
      <c r="K429">
        <v>0.1</v>
      </c>
      <c r="L429" t="s">
        <v>34</v>
      </c>
      <c r="M429" t="s">
        <v>26</v>
      </c>
      <c r="N429" t="s">
        <v>27</v>
      </c>
      <c r="O429">
        <v>29240</v>
      </c>
      <c r="P429">
        <v>2924</v>
      </c>
      <c r="Q429">
        <v>26316</v>
      </c>
      <c r="R429">
        <v>2</v>
      </c>
      <c r="S429" s="15">
        <f t="shared" si="6"/>
        <v>46054</v>
      </c>
    </row>
    <row r="430" spans="1:19">
      <c r="A430" t="s">
        <v>506</v>
      </c>
      <c r="B430" s="2">
        <v>46077</v>
      </c>
      <c r="C430" t="s">
        <v>29</v>
      </c>
      <c r="D430" t="s">
        <v>78</v>
      </c>
      <c r="E430" t="s">
        <v>42</v>
      </c>
      <c r="F430" t="s">
        <v>53</v>
      </c>
      <c r="G430" t="s">
        <v>43</v>
      </c>
      <c r="H430" t="s">
        <v>33</v>
      </c>
      <c r="I430">
        <v>2</v>
      </c>
      <c r="J430">
        <v>960</v>
      </c>
      <c r="K430">
        <v>0.1</v>
      </c>
      <c r="L430" t="s">
        <v>34</v>
      </c>
      <c r="M430" t="s">
        <v>26</v>
      </c>
      <c r="N430" t="s">
        <v>27</v>
      </c>
      <c r="O430">
        <v>1920</v>
      </c>
      <c r="P430">
        <v>192</v>
      </c>
      <c r="Q430">
        <v>1728</v>
      </c>
      <c r="R430">
        <v>3</v>
      </c>
      <c r="S430" s="15">
        <f t="shared" si="6"/>
        <v>46054</v>
      </c>
    </row>
    <row r="431" spans="1:19">
      <c r="A431" t="s">
        <v>507</v>
      </c>
      <c r="B431" s="2">
        <v>46078</v>
      </c>
      <c r="C431" t="s">
        <v>40</v>
      </c>
      <c r="D431" t="s">
        <v>41</v>
      </c>
      <c r="E431" t="s">
        <v>42</v>
      </c>
      <c r="F431" t="s">
        <v>53</v>
      </c>
      <c r="G431" t="s">
        <v>152</v>
      </c>
      <c r="H431" t="s">
        <v>74</v>
      </c>
      <c r="I431">
        <v>2</v>
      </c>
      <c r="J431">
        <v>14510</v>
      </c>
      <c r="K431">
        <v>0</v>
      </c>
      <c r="L431" t="s">
        <v>25</v>
      </c>
      <c r="M431" t="s">
        <v>44</v>
      </c>
      <c r="N431" t="s">
        <v>27</v>
      </c>
      <c r="O431">
        <v>29020</v>
      </c>
      <c r="P431">
        <v>0</v>
      </c>
      <c r="Q431">
        <v>29020</v>
      </c>
      <c r="R431">
        <v>6</v>
      </c>
      <c r="S431" s="15">
        <f t="shared" si="6"/>
        <v>46054</v>
      </c>
    </row>
    <row r="432" spans="1:19">
      <c r="A432" t="s">
        <v>508</v>
      </c>
      <c r="B432" s="2">
        <v>46078</v>
      </c>
      <c r="C432" t="s">
        <v>19</v>
      </c>
      <c r="D432" t="s">
        <v>57</v>
      </c>
      <c r="E432" t="s">
        <v>21</v>
      </c>
      <c r="F432" t="s">
        <v>31</v>
      </c>
      <c r="G432" t="s">
        <v>92</v>
      </c>
      <c r="H432" t="s">
        <v>24</v>
      </c>
      <c r="I432">
        <v>2</v>
      </c>
      <c r="J432">
        <v>16370</v>
      </c>
      <c r="K432">
        <v>0</v>
      </c>
      <c r="L432" t="s">
        <v>54</v>
      </c>
      <c r="M432" t="s">
        <v>71</v>
      </c>
      <c r="N432" t="s">
        <v>27</v>
      </c>
      <c r="O432">
        <v>32740</v>
      </c>
      <c r="P432">
        <v>0</v>
      </c>
      <c r="Q432">
        <v>32740</v>
      </c>
      <c r="R432">
        <v>3</v>
      </c>
      <c r="S432" s="15">
        <f t="shared" si="6"/>
        <v>46054</v>
      </c>
    </row>
    <row r="433" spans="1:19">
      <c r="A433" t="s">
        <v>509</v>
      </c>
      <c r="B433" s="2">
        <v>46078</v>
      </c>
      <c r="C433" t="s">
        <v>19</v>
      </c>
      <c r="D433" t="s">
        <v>52</v>
      </c>
      <c r="E433" t="s">
        <v>21</v>
      </c>
      <c r="F433" t="s">
        <v>22</v>
      </c>
      <c r="G433" t="s">
        <v>43</v>
      </c>
      <c r="H433" t="s">
        <v>33</v>
      </c>
      <c r="I433">
        <v>5</v>
      </c>
      <c r="J433">
        <v>980</v>
      </c>
      <c r="K433">
        <v>0.1</v>
      </c>
      <c r="L433" t="s">
        <v>54</v>
      </c>
      <c r="M433" t="s">
        <v>35</v>
      </c>
      <c r="N433" t="s">
        <v>27</v>
      </c>
      <c r="O433">
        <v>4900</v>
      </c>
      <c r="P433">
        <v>490</v>
      </c>
      <c r="Q433">
        <v>4410</v>
      </c>
      <c r="R433">
        <v>4</v>
      </c>
      <c r="S433" s="15">
        <f t="shared" si="6"/>
        <v>46054</v>
      </c>
    </row>
    <row r="434" spans="1:19">
      <c r="A434" t="s">
        <v>510</v>
      </c>
      <c r="B434" s="2">
        <v>46078</v>
      </c>
      <c r="C434" t="s">
        <v>40</v>
      </c>
      <c r="D434" t="s">
        <v>41</v>
      </c>
      <c r="E434" t="s">
        <v>42</v>
      </c>
      <c r="F434" t="s">
        <v>53</v>
      </c>
      <c r="G434" t="s">
        <v>58</v>
      </c>
      <c r="H434" t="s">
        <v>59</v>
      </c>
      <c r="I434">
        <v>4</v>
      </c>
      <c r="J434">
        <v>6810</v>
      </c>
      <c r="K434">
        <v>0.1</v>
      </c>
      <c r="L434" t="s">
        <v>64</v>
      </c>
      <c r="M434" t="s">
        <v>35</v>
      </c>
      <c r="N434" t="s">
        <v>27</v>
      </c>
      <c r="O434">
        <v>27240</v>
      </c>
      <c r="P434">
        <v>2724</v>
      </c>
      <c r="Q434">
        <v>24516</v>
      </c>
      <c r="R434">
        <v>6</v>
      </c>
      <c r="S434" s="15">
        <f t="shared" si="6"/>
        <v>46054</v>
      </c>
    </row>
    <row r="435" spans="1:19">
      <c r="A435" t="s">
        <v>511</v>
      </c>
      <c r="B435" s="2">
        <v>46079</v>
      </c>
      <c r="C435" t="s">
        <v>40</v>
      </c>
      <c r="D435" t="s">
        <v>115</v>
      </c>
      <c r="E435" t="s">
        <v>42</v>
      </c>
      <c r="F435" t="s">
        <v>22</v>
      </c>
      <c r="G435" t="s">
        <v>152</v>
      </c>
      <c r="H435" t="s">
        <v>74</v>
      </c>
      <c r="I435">
        <v>3</v>
      </c>
      <c r="J435">
        <v>14770</v>
      </c>
      <c r="K435">
        <v>0</v>
      </c>
      <c r="L435" t="s">
        <v>25</v>
      </c>
      <c r="M435" t="s">
        <v>50</v>
      </c>
      <c r="N435" t="s">
        <v>27</v>
      </c>
      <c r="O435">
        <v>44310</v>
      </c>
      <c r="P435">
        <v>0</v>
      </c>
      <c r="Q435">
        <v>44310</v>
      </c>
      <c r="R435">
        <v>3</v>
      </c>
      <c r="S435" s="15">
        <f t="shared" si="6"/>
        <v>46054</v>
      </c>
    </row>
    <row r="436" spans="1:19">
      <c r="A436" t="s">
        <v>512</v>
      </c>
      <c r="B436" s="2">
        <v>46079</v>
      </c>
      <c r="C436" t="s">
        <v>82</v>
      </c>
      <c r="D436" t="s">
        <v>178</v>
      </c>
      <c r="E436" t="s">
        <v>42</v>
      </c>
      <c r="F436" t="s">
        <v>31</v>
      </c>
      <c r="G436" t="s">
        <v>37</v>
      </c>
      <c r="H436" t="s">
        <v>24</v>
      </c>
      <c r="I436">
        <v>1</v>
      </c>
      <c r="J436">
        <v>61710</v>
      </c>
      <c r="K436">
        <v>0.05</v>
      </c>
      <c r="L436" t="s">
        <v>25</v>
      </c>
      <c r="M436" t="s">
        <v>55</v>
      </c>
      <c r="N436" t="s">
        <v>27</v>
      </c>
      <c r="O436">
        <v>61710</v>
      </c>
      <c r="P436">
        <v>3085.5</v>
      </c>
      <c r="Q436">
        <v>58624.5</v>
      </c>
      <c r="R436">
        <v>1</v>
      </c>
      <c r="S436" s="15">
        <f t="shared" si="6"/>
        <v>46054</v>
      </c>
    </row>
    <row r="437" spans="1:19">
      <c r="A437" t="s">
        <v>513</v>
      </c>
      <c r="B437" s="2">
        <v>46079</v>
      </c>
      <c r="C437" t="s">
        <v>29</v>
      </c>
      <c r="D437" t="s">
        <v>85</v>
      </c>
      <c r="E437" t="s">
        <v>70</v>
      </c>
      <c r="F437" t="s">
        <v>31</v>
      </c>
      <c r="G437" t="s">
        <v>48</v>
      </c>
      <c r="H437" t="s">
        <v>49</v>
      </c>
      <c r="I437">
        <v>1</v>
      </c>
      <c r="J437">
        <v>12430</v>
      </c>
      <c r="K437">
        <v>0</v>
      </c>
      <c r="L437" t="s">
        <v>68</v>
      </c>
      <c r="M437" t="s">
        <v>44</v>
      </c>
      <c r="N437" t="s">
        <v>45</v>
      </c>
      <c r="O437">
        <v>0</v>
      </c>
      <c r="P437">
        <v>0</v>
      </c>
      <c r="Q437">
        <v>0</v>
      </c>
      <c r="S437" s="15">
        <f t="shared" si="6"/>
        <v>46054</v>
      </c>
    </row>
    <row r="438" spans="1:19">
      <c r="A438" t="s">
        <v>514</v>
      </c>
      <c r="B438" s="2">
        <v>46080</v>
      </c>
      <c r="C438" t="s">
        <v>40</v>
      </c>
      <c r="D438" t="s">
        <v>47</v>
      </c>
      <c r="E438" t="s">
        <v>42</v>
      </c>
      <c r="F438" t="s">
        <v>22</v>
      </c>
      <c r="G438" t="s">
        <v>149</v>
      </c>
      <c r="H438" t="s">
        <v>33</v>
      </c>
      <c r="I438">
        <v>1</v>
      </c>
      <c r="J438">
        <v>3700</v>
      </c>
      <c r="K438">
        <v>0.08</v>
      </c>
      <c r="L438" t="s">
        <v>34</v>
      </c>
      <c r="M438" t="s">
        <v>71</v>
      </c>
      <c r="N438" t="s">
        <v>27</v>
      </c>
      <c r="O438">
        <v>3700</v>
      </c>
      <c r="P438">
        <v>296</v>
      </c>
      <c r="Q438">
        <v>3404</v>
      </c>
      <c r="R438">
        <v>3</v>
      </c>
      <c r="S438" s="15">
        <f t="shared" si="6"/>
        <v>46054</v>
      </c>
    </row>
    <row r="439" spans="1:19">
      <c r="A439" t="s">
        <v>515</v>
      </c>
      <c r="B439" s="2">
        <v>46082</v>
      </c>
      <c r="C439" t="s">
        <v>19</v>
      </c>
      <c r="D439" t="s">
        <v>52</v>
      </c>
      <c r="E439" t="s">
        <v>42</v>
      </c>
      <c r="F439" t="s">
        <v>22</v>
      </c>
      <c r="G439" t="s">
        <v>105</v>
      </c>
      <c r="H439" t="s">
        <v>24</v>
      </c>
      <c r="I439">
        <v>1</v>
      </c>
      <c r="J439">
        <v>3340</v>
      </c>
      <c r="K439">
        <v>0.08</v>
      </c>
      <c r="L439" t="s">
        <v>64</v>
      </c>
      <c r="M439" t="s">
        <v>66</v>
      </c>
      <c r="N439" t="s">
        <v>27</v>
      </c>
      <c r="O439">
        <v>3340</v>
      </c>
      <c r="P439">
        <v>267.2</v>
      </c>
      <c r="Q439">
        <v>3072.8</v>
      </c>
      <c r="R439">
        <v>2</v>
      </c>
      <c r="S439" s="15">
        <f t="shared" si="6"/>
        <v>46082</v>
      </c>
    </row>
    <row r="440" spans="1:19">
      <c r="A440" t="s">
        <v>516</v>
      </c>
      <c r="B440" s="2">
        <v>46082</v>
      </c>
      <c r="C440" t="s">
        <v>29</v>
      </c>
      <c r="D440" t="s">
        <v>85</v>
      </c>
      <c r="E440" t="s">
        <v>21</v>
      </c>
      <c r="F440" t="s">
        <v>22</v>
      </c>
      <c r="G440" t="s">
        <v>37</v>
      </c>
      <c r="H440" t="s">
        <v>24</v>
      </c>
      <c r="I440">
        <v>3</v>
      </c>
      <c r="J440">
        <v>61300</v>
      </c>
      <c r="K440">
        <v>0.1</v>
      </c>
      <c r="L440" t="s">
        <v>54</v>
      </c>
      <c r="M440" t="s">
        <v>44</v>
      </c>
      <c r="N440" t="s">
        <v>27</v>
      </c>
      <c r="O440">
        <v>183900</v>
      </c>
      <c r="P440">
        <v>18390</v>
      </c>
      <c r="Q440">
        <v>165510</v>
      </c>
      <c r="R440">
        <v>4</v>
      </c>
      <c r="S440" s="15">
        <f t="shared" si="6"/>
        <v>46082</v>
      </c>
    </row>
    <row r="441" spans="1:19">
      <c r="A441" t="s">
        <v>517</v>
      </c>
      <c r="B441" s="2">
        <v>46085</v>
      </c>
      <c r="C441" t="s">
        <v>29</v>
      </c>
      <c r="D441" t="s">
        <v>61</v>
      </c>
      <c r="E441" t="s">
        <v>42</v>
      </c>
      <c r="F441" t="s">
        <v>22</v>
      </c>
      <c r="G441" t="s">
        <v>48</v>
      </c>
      <c r="H441" t="s">
        <v>49</v>
      </c>
      <c r="I441">
        <v>1</v>
      </c>
      <c r="J441">
        <v>11630</v>
      </c>
      <c r="K441">
        <v>0</v>
      </c>
      <c r="L441" t="s">
        <v>68</v>
      </c>
      <c r="M441" t="s">
        <v>35</v>
      </c>
      <c r="N441" t="s">
        <v>27</v>
      </c>
      <c r="O441">
        <v>11630</v>
      </c>
      <c r="P441">
        <v>0</v>
      </c>
      <c r="Q441">
        <v>11630</v>
      </c>
      <c r="R441">
        <v>2</v>
      </c>
      <c r="S441" s="15">
        <f t="shared" si="6"/>
        <v>46082</v>
      </c>
    </row>
    <row r="442" spans="1:19">
      <c r="A442" t="s">
        <v>518</v>
      </c>
      <c r="B442" s="2">
        <v>46085</v>
      </c>
      <c r="C442" t="s">
        <v>82</v>
      </c>
      <c r="D442" t="s">
        <v>83</v>
      </c>
      <c r="E442" t="s">
        <v>21</v>
      </c>
      <c r="F442" t="s">
        <v>31</v>
      </c>
      <c r="G442" t="s">
        <v>101</v>
      </c>
      <c r="H442" t="s">
        <v>33</v>
      </c>
      <c r="I442">
        <v>3</v>
      </c>
      <c r="J442">
        <v>1780</v>
      </c>
      <c r="K442">
        <v>0.05</v>
      </c>
      <c r="L442" t="s">
        <v>54</v>
      </c>
      <c r="M442" t="s">
        <v>50</v>
      </c>
      <c r="N442" t="s">
        <v>27</v>
      </c>
      <c r="O442">
        <v>5340</v>
      </c>
      <c r="P442">
        <v>267</v>
      </c>
      <c r="Q442">
        <v>5073</v>
      </c>
      <c r="R442">
        <v>3</v>
      </c>
      <c r="S442" s="15">
        <f t="shared" si="6"/>
        <v>46082</v>
      </c>
    </row>
    <row r="443" spans="1:19">
      <c r="A443" t="s">
        <v>519</v>
      </c>
      <c r="B443" s="2">
        <v>46086</v>
      </c>
      <c r="C443" t="s">
        <v>40</v>
      </c>
      <c r="D443" t="s">
        <v>89</v>
      </c>
      <c r="E443" t="s">
        <v>21</v>
      </c>
      <c r="F443" t="s">
        <v>22</v>
      </c>
      <c r="G443" t="s">
        <v>32</v>
      </c>
      <c r="H443" t="s">
        <v>33</v>
      </c>
      <c r="I443">
        <v>3</v>
      </c>
      <c r="J443">
        <v>2530</v>
      </c>
      <c r="K443">
        <v>0.05</v>
      </c>
      <c r="L443" t="s">
        <v>64</v>
      </c>
      <c r="M443" t="s">
        <v>26</v>
      </c>
      <c r="N443" t="s">
        <v>27</v>
      </c>
      <c r="O443">
        <v>7590</v>
      </c>
      <c r="P443">
        <v>379.5</v>
      </c>
      <c r="Q443">
        <v>7210.5</v>
      </c>
      <c r="R443">
        <v>3</v>
      </c>
      <c r="S443" s="15">
        <f t="shared" si="6"/>
        <v>46082</v>
      </c>
    </row>
    <row r="444" spans="1:19">
      <c r="A444" t="s">
        <v>520</v>
      </c>
      <c r="B444" s="2">
        <v>46087</v>
      </c>
      <c r="C444" t="s">
        <v>19</v>
      </c>
      <c r="D444" t="s">
        <v>57</v>
      </c>
      <c r="E444" t="s">
        <v>42</v>
      </c>
      <c r="F444" t="s">
        <v>31</v>
      </c>
      <c r="G444" t="s">
        <v>149</v>
      </c>
      <c r="H444" t="s">
        <v>33</v>
      </c>
      <c r="I444">
        <v>1</v>
      </c>
      <c r="J444">
        <v>3510</v>
      </c>
      <c r="K444">
        <v>0</v>
      </c>
      <c r="L444" t="s">
        <v>64</v>
      </c>
      <c r="M444" t="s">
        <v>55</v>
      </c>
      <c r="N444" t="s">
        <v>27</v>
      </c>
      <c r="O444">
        <v>3510</v>
      </c>
      <c r="P444">
        <v>0</v>
      </c>
      <c r="Q444">
        <v>3510</v>
      </c>
      <c r="R444">
        <v>2</v>
      </c>
      <c r="S444" s="15">
        <f t="shared" si="6"/>
        <v>46082</v>
      </c>
    </row>
    <row r="445" spans="1:19">
      <c r="A445" t="s">
        <v>521</v>
      </c>
      <c r="B445" s="2">
        <v>46088</v>
      </c>
      <c r="C445" t="s">
        <v>19</v>
      </c>
      <c r="D445" t="s">
        <v>57</v>
      </c>
      <c r="E445" t="s">
        <v>42</v>
      </c>
      <c r="F445" t="s">
        <v>22</v>
      </c>
      <c r="G445" t="s">
        <v>43</v>
      </c>
      <c r="H445" t="s">
        <v>33</v>
      </c>
      <c r="I445">
        <v>1</v>
      </c>
      <c r="J445">
        <v>940</v>
      </c>
      <c r="K445">
        <v>0.05</v>
      </c>
      <c r="L445" t="s">
        <v>68</v>
      </c>
      <c r="M445" t="s">
        <v>66</v>
      </c>
      <c r="N445" t="s">
        <v>27</v>
      </c>
      <c r="O445">
        <v>940</v>
      </c>
      <c r="P445">
        <v>47</v>
      </c>
      <c r="Q445">
        <v>893</v>
      </c>
      <c r="R445">
        <v>3</v>
      </c>
      <c r="S445" s="15">
        <f t="shared" si="6"/>
        <v>46082</v>
      </c>
    </row>
    <row r="446" spans="1:19">
      <c r="A446" t="s">
        <v>522</v>
      </c>
      <c r="B446" s="2">
        <v>46088</v>
      </c>
      <c r="C446" t="s">
        <v>19</v>
      </c>
      <c r="D446" t="s">
        <v>20</v>
      </c>
      <c r="E446" t="s">
        <v>42</v>
      </c>
      <c r="F446" t="s">
        <v>22</v>
      </c>
      <c r="G446" t="s">
        <v>43</v>
      </c>
      <c r="H446" t="s">
        <v>33</v>
      </c>
      <c r="I446">
        <v>1</v>
      </c>
      <c r="J446">
        <v>880</v>
      </c>
      <c r="K446">
        <v>0</v>
      </c>
      <c r="L446" t="s">
        <v>68</v>
      </c>
      <c r="M446" t="s">
        <v>35</v>
      </c>
      <c r="N446" t="s">
        <v>27</v>
      </c>
      <c r="O446">
        <v>880</v>
      </c>
      <c r="P446">
        <v>0</v>
      </c>
      <c r="Q446">
        <v>880</v>
      </c>
      <c r="R446">
        <v>1</v>
      </c>
      <c r="S446" s="15">
        <f t="shared" si="6"/>
        <v>46082</v>
      </c>
    </row>
    <row r="447" spans="1:19">
      <c r="A447" t="s">
        <v>523</v>
      </c>
      <c r="B447" s="2">
        <v>46088</v>
      </c>
      <c r="C447" t="s">
        <v>40</v>
      </c>
      <c r="D447" t="s">
        <v>47</v>
      </c>
      <c r="E447" t="s">
        <v>42</v>
      </c>
      <c r="F447" t="s">
        <v>22</v>
      </c>
      <c r="G447" t="s">
        <v>37</v>
      </c>
      <c r="H447" t="s">
        <v>24</v>
      </c>
      <c r="I447">
        <v>2</v>
      </c>
      <c r="J447">
        <v>62980</v>
      </c>
      <c r="K447">
        <v>0.1</v>
      </c>
      <c r="L447" t="s">
        <v>64</v>
      </c>
      <c r="M447" t="s">
        <v>44</v>
      </c>
      <c r="N447" t="s">
        <v>27</v>
      </c>
      <c r="O447">
        <v>125960</v>
      </c>
      <c r="P447">
        <v>12596</v>
      </c>
      <c r="Q447">
        <v>113364</v>
      </c>
      <c r="R447">
        <v>6</v>
      </c>
      <c r="S447" s="15">
        <f t="shared" si="6"/>
        <v>46082</v>
      </c>
    </row>
    <row r="448" spans="1:19">
      <c r="A448" t="s">
        <v>524</v>
      </c>
      <c r="B448" s="2">
        <v>46089</v>
      </c>
      <c r="C448" t="s">
        <v>29</v>
      </c>
      <c r="D448" t="s">
        <v>85</v>
      </c>
      <c r="E448" t="s">
        <v>42</v>
      </c>
      <c r="F448" t="s">
        <v>22</v>
      </c>
      <c r="G448" t="s">
        <v>92</v>
      </c>
      <c r="H448" t="s">
        <v>24</v>
      </c>
      <c r="I448">
        <v>4</v>
      </c>
      <c r="J448">
        <v>17650</v>
      </c>
      <c r="K448">
        <v>0.08</v>
      </c>
      <c r="L448" t="s">
        <v>64</v>
      </c>
      <c r="M448" t="s">
        <v>38</v>
      </c>
      <c r="N448" t="s">
        <v>27</v>
      </c>
      <c r="O448">
        <v>70600</v>
      </c>
      <c r="P448">
        <v>5648</v>
      </c>
      <c r="Q448">
        <v>64952</v>
      </c>
      <c r="R448">
        <v>4</v>
      </c>
      <c r="S448" s="15">
        <f t="shared" si="6"/>
        <v>46082</v>
      </c>
    </row>
    <row r="449" spans="1:19">
      <c r="A449" t="s">
        <v>525</v>
      </c>
      <c r="B449" s="2">
        <v>46089</v>
      </c>
      <c r="C449" t="s">
        <v>40</v>
      </c>
      <c r="D449" t="s">
        <v>115</v>
      </c>
      <c r="E449" t="s">
        <v>21</v>
      </c>
      <c r="F449" t="s">
        <v>22</v>
      </c>
      <c r="G449" t="s">
        <v>73</v>
      </c>
      <c r="H449" t="s">
        <v>74</v>
      </c>
      <c r="I449">
        <v>4</v>
      </c>
      <c r="J449">
        <v>11280</v>
      </c>
      <c r="K449">
        <v>0.08</v>
      </c>
      <c r="L449" t="s">
        <v>54</v>
      </c>
      <c r="M449" t="s">
        <v>44</v>
      </c>
      <c r="N449" t="s">
        <v>27</v>
      </c>
      <c r="O449">
        <v>45120</v>
      </c>
      <c r="P449">
        <v>3609.6</v>
      </c>
      <c r="Q449">
        <v>41510.400000000001</v>
      </c>
      <c r="R449">
        <v>6</v>
      </c>
      <c r="S449" s="15">
        <f t="shared" si="6"/>
        <v>46082</v>
      </c>
    </row>
    <row r="450" spans="1:19">
      <c r="A450" t="s">
        <v>526</v>
      </c>
      <c r="B450" s="2">
        <v>46089</v>
      </c>
      <c r="C450" t="s">
        <v>19</v>
      </c>
      <c r="D450" t="s">
        <v>52</v>
      </c>
      <c r="E450" t="s">
        <v>42</v>
      </c>
      <c r="F450" t="s">
        <v>22</v>
      </c>
      <c r="G450" t="s">
        <v>23</v>
      </c>
      <c r="H450" t="s">
        <v>24</v>
      </c>
      <c r="I450">
        <v>1</v>
      </c>
      <c r="J450">
        <v>28780</v>
      </c>
      <c r="K450">
        <v>0.05</v>
      </c>
      <c r="L450" t="s">
        <v>34</v>
      </c>
      <c r="M450" t="s">
        <v>35</v>
      </c>
      <c r="N450" t="s">
        <v>27</v>
      </c>
      <c r="O450">
        <v>28780</v>
      </c>
      <c r="P450">
        <v>1439</v>
      </c>
      <c r="Q450">
        <v>27341</v>
      </c>
      <c r="R450">
        <v>3</v>
      </c>
      <c r="S450" s="15">
        <f t="shared" ref="S450:S513" si="7">DATE(YEAR(B450),MONTH(B450),1)</f>
        <v>46082</v>
      </c>
    </row>
    <row r="451" spans="1:19">
      <c r="A451" t="s">
        <v>527</v>
      </c>
      <c r="B451" s="2">
        <v>46091</v>
      </c>
      <c r="C451" t="s">
        <v>29</v>
      </c>
      <c r="D451" t="s">
        <v>30</v>
      </c>
      <c r="E451" t="s">
        <v>42</v>
      </c>
      <c r="F451" t="s">
        <v>22</v>
      </c>
      <c r="G451" t="s">
        <v>105</v>
      </c>
      <c r="H451" t="s">
        <v>24</v>
      </c>
      <c r="I451">
        <v>1</v>
      </c>
      <c r="J451">
        <v>3250</v>
      </c>
      <c r="K451">
        <v>0.05</v>
      </c>
      <c r="L451" t="s">
        <v>68</v>
      </c>
      <c r="M451" t="s">
        <v>38</v>
      </c>
      <c r="N451" t="s">
        <v>27</v>
      </c>
      <c r="O451">
        <v>3250</v>
      </c>
      <c r="P451">
        <v>162.5</v>
      </c>
      <c r="Q451">
        <v>3087.5</v>
      </c>
      <c r="R451">
        <v>3</v>
      </c>
      <c r="S451" s="15">
        <f t="shared" si="7"/>
        <v>46082</v>
      </c>
    </row>
    <row r="452" spans="1:19">
      <c r="A452" t="s">
        <v>528</v>
      </c>
      <c r="B452" s="2">
        <v>46091</v>
      </c>
      <c r="C452" t="s">
        <v>82</v>
      </c>
      <c r="D452" t="s">
        <v>83</v>
      </c>
      <c r="E452" t="s">
        <v>21</v>
      </c>
      <c r="F452" t="s">
        <v>31</v>
      </c>
      <c r="G452" t="s">
        <v>62</v>
      </c>
      <c r="H452" t="s">
        <v>33</v>
      </c>
      <c r="I452">
        <v>2</v>
      </c>
      <c r="J452">
        <v>1710</v>
      </c>
      <c r="K452">
        <v>0.05</v>
      </c>
      <c r="L452" t="s">
        <v>34</v>
      </c>
      <c r="M452" t="s">
        <v>71</v>
      </c>
      <c r="N452" t="s">
        <v>27</v>
      </c>
      <c r="O452">
        <v>3420</v>
      </c>
      <c r="P452">
        <v>171</v>
      </c>
      <c r="Q452">
        <v>3249</v>
      </c>
      <c r="R452">
        <v>1</v>
      </c>
      <c r="S452" s="15">
        <f t="shared" si="7"/>
        <v>46082</v>
      </c>
    </row>
    <row r="453" spans="1:19">
      <c r="A453" t="s">
        <v>529</v>
      </c>
      <c r="B453" s="2">
        <v>46092</v>
      </c>
      <c r="C453" t="s">
        <v>40</v>
      </c>
      <c r="D453" t="s">
        <v>41</v>
      </c>
      <c r="E453" t="s">
        <v>21</v>
      </c>
      <c r="F453" t="s">
        <v>22</v>
      </c>
      <c r="G453" t="s">
        <v>37</v>
      </c>
      <c r="H453" t="s">
        <v>24</v>
      </c>
      <c r="I453">
        <v>5</v>
      </c>
      <c r="J453">
        <v>59270</v>
      </c>
      <c r="K453">
        <v>0.1</v>
      </c>
      <c r="L453" t="s">
        <v>64</v>
      </c>
      <c r="M453" t="s">
        <v>35</v>
      </c>
      <c r="N453" t="s">
        <v>27</v>
      </c>
      <c r="O453">
        <v>296350</v>
      </c>
      <c r="P453">
        <v>29635</v>
      </c>
      <c r="Q453">
        <v>266715</v>
      </c>
      <c r="R453">
        <v>2</v>
      </c>
      <c r="S453" s="15">
        <f t="shared" si="7"/>
        <v>46082</v>
      </c>
    </row>
    <row r="454" spans="1:19">
      <c r="A454" t="s">
        <v>530</v>
      </c>
      <c r="B454" s="2">
        <v>46093</v>
      </c>
      <c r="C454" t="s">
        <v>40</v>
      </c>
      <c r="D454" t="s">
        <v>47</v>
      </c>
      <c r="E454" t="s">
        <v>21</v>
      </c>
      <c r="F454" t="s">
        <v>22</v>
      </c>
      <c r="G454" t="s">
        <v>37</v>
      </c>
      <c r="H454" t="s">
        <v>24</v>
      </c>
      <c r="I454">
        <v>4</v>
      </c>
      <c r="J454">
        <v>63340</v>
      </c>
      <c r="K454">
        <v>0.05</v>
      </c>
      <c r="L454" t="s">
        <v>68</v>
      </c>
      <c r="M454" t="s">
        <v>26</v>
      </c>
      <c r="N454" t="s">
        <v>27</v>
      </c>
      <c r="O454">
        <v>253360</v>
      </c>
      <c r="P454">
        <v>12668</v>
      </c>
      <c r="Q454">
        <v>240692</v>
      </c>
      <c r="R454">
        <v>2</v>
      </c>
      <c r="S454" s="15">
        <f t="shared" si="7"/>
        <v>46082</v>
      </c>
    </row>
    <row r="455" spans="1:19">
      <c r="A455" t="s">
        <v>531</v>
      </c>
      <c r="B455" s="2">
        <v>46093</v>
      </c>
      <c r="C455" t="s">
        <v>19</v>
      </c>
      <c r="D455" t="s">
        <v>103</v>
      </c>
      <c r="E455" t="s">
        <v>70</v>
      </c>
      <c r="F455" t="s">
        <v>22</v>
      </c>
      <c r="G455" t="s">
        <v>23</v>
      </c>
      <c r="H455" t="s">
        <v>24</v>
      </c>
      <c r="I455">
        <v>4</v>
      </c>
      <c r="J455">
        <v>29210</v>
      </c>
      <c r="K455">
        <v>0</v>
      </c>
      <c r="L455" t="s">
        <v>68</v>
      </c>
      <c r="M455" t="s">
        <v>35</v>
      </c>
      <c r="N455" t="s">
        <v>27</v>
      </c>
      <c r="O455">
        <v>116840</v>
      </c>
      <c r="P455">
        <v>0</v>
      </c>
      <c r="Q455">
        <v>116840</v>
      </c>
      <c r="R455">
        <v>2</v>
      </c>
      <c r="S455" s="15">
        <f t="shared" si="7"/>
        <v>46082</v>
      </c>
    </row>
    <row r="456" spans="1:19">
      <c r="A456" t="s">
        <v>532</v>
      </c>
      <c r="B456" s="2">
        <v>46093</v>
      </c>
      <c r="C456" t="s">
        <v>29</v>
      </c>
      <c r="D456" t="s">
        <v>61</v>
      </c>
      <c r="E456" t="s">
        <v>21</v>
      </c>
      <c r="F456" t="s">
        <v>31</v>
      </c>
      <c r="G456" t="s">
        <v>152</v>
      </c>
      <c r="H456" t="s">
        <v>74</v>
      </c>
      <c r="I456">
        <v>1</v>
      </c>
      <c r="J456">
        <v>13930</v>
      </c>
      <c r="K456">
        <v>0</v>
      </c>
      <c r="L456" t="s">
        <v>64</v>
      </c>
      <c r="M456" t="s">
        <v>66</v>
      </c>
      <c r="N456" t="s">
        <v>27</v>
      </c>
      <c r="O456">
        <v>13930</v>
      </c>
      <c r="P456">
        <v>0</v>
      </c>
      <c r="Q456">
        <v>13930</v>
      </c>
      <c r="R456">
        <v>1</v>
      </c>
      <c r="S456" s="15">
        <f t="shared" si="7"/>
        <v>46082</v>
      </c>
    </row>
    <row r="457" spans="1:19">
      <c r="A457" t="s">
        <v>533</v>
      </c>
      <c r="B457" s="2">
        <v>46094</v>
      </c>
      <c r="C457" t="s">
        <v>40</v>
      </c>
      <c r="D457" t="s">
        <v>89</v>
      </c>
      <c r="E457" t="s">
        <v>21</v>
      </c>
      <c r="F457" t="s">
        <v>22</v>
      </c>
      <c r="G457" t="s">
        <v>101</v>
      </c>
      <c r="H457" t="s">
        <v>33</v>
      </c>
      <c r="I457">
        <v>1</v>
      </c>
      <c r="J457">
        <v>1700</v>
      </c>
      <c r="K457">
        <v>0.08</v>
      </c>
      <c r="L457" t="s">
        <v>64</v>
      </c>
      <c r="M457" t="s">
        <v>71</v>
      </c>
      <c r="N457" t="s">
        <v>27</v>
      </c>
      <c r="O457">
        <v>1700</v>
      </c>
      <c r="P457">
        <v>136</v>
      </c>
      <c r="Q457">
        <v>1564</v>
      </c>
      <c r="R457">
        <v>2</v>
      </c>
      <c r="S457" s="15">
        <f t="shared" si="7"/>
        <v>46082</v>
      </c>
    </row>
    <row r="458" spans="1:19">
      <c r="A458" t="s">
        <v>534</v>
      </c>
      <c r="B458" s="2">
        <v>46095</v>
      </c>
      <c r="C458" t="s">
        <v>40</v>
      </c>
      <c r="D458" t="s">
        <v>89</v>
      </c>
      <c r="E458" t="s">
        <v>70</v>
      </c>
      <c r="F458" t="s">
        <v>53</v>
      </c>
      <c r="G458" t="s">
        <v>73</v>
      </c>
      <c r="H458" t="s">
        <v>74</v>
      </c>
      <c r="I458">
        <v>3</v>
      </c>
      <c r="J458">
        <v>11540</v>
      </c>
      <c r="K458">
        <v>0.08</v>
      </c>
      <c r="L458" t="s">
        <v>34</v>
      </c>
      <c r="M458" t="s">
        <v>26</v>
      </c>
      <c r="N458" t="s">
        <v>27</v>
      </c>
      <c r="O458">
        <v>34620</v>
      </c>
      <c r="P458">
        <v>2769.6</v>
      </c>
      <c r="Q458">
        <v>31850.400000000001</v>
      </c>
      <c r="R458">
        <v>4</v>
      </c>
      <c r="S458" s="15">
        <f t="shared" si="7"/>
        <v>46082</v>
      </c>
    </row>
    <row r="459" spans="1:19">
      <c r="A459" t="s">
        <v>535</v>
      </c>
      <c r="B459" s="2">
        <v>46095</v>
      </c>
      <c r="C459" t="s">
        <v>82</v>
      </c>
      <c r="D459" t="s">
        <v>178</v>
      </c>
      <c r="E459" t="s">
        <v>42</v>
      </c>
      <c r="F459" t="s">
        <v>53</v>
      </c>
      <c r="G459" t="s">
        <v>152</v>
      </c>
      <c r="H459" t="s">
        <v>74</v>
      </c>
      <c r="I459">
        <v>4</v>
      </c>
      <c r="J459">
        <v>14870</v>
      </c>
      <c r="K459">
        <v>0.05</v>
      </c>
      <c r="L459" t="s">
        <v>68</v>
      </c>
      <c r="M459" t="s">
        <v>71</v>
      </c>
      <c r="N459" t="s">
        <v>130</v>
      </c>
      <c r="O459">
        <v>59480</v>
      </c>
      <c r="P459">
        <v>2974</v>
      </c>
      <c r="Q459">
        <v>56506</v>
      </c>
      <c r="R459">
        <v>4</v>
      </c>
      <c r="S459" s="15">
        <f t="shared" si="7"/>
        <v>46082</v>
      </c>
    </row>
    <row r="460" spans="1:19">
      <c r="A460" t="s">
        <v>536</v>
      </c>
      <c r="B460" s="2">
        <v>46095</v>
      </c>
      <c r="C460" t="s">
        <v>29</v>
      </c>
      <c r="D460" t="s">
        <v>30</v>
      </c>
      <c r="E460" t="s">
        <v>70</v>
      </c>
      <c r="F460" t="s">
        <v>22</v>
      </c>
      <c r="G460" t="s">
        <v>73</v>
      </c>
      <c r="H460" t="s">
        <v>74</v>
      </c>
      <c r="I460">
        <v>3</v>
      </c>
      <c r="J460">
        <v>10740</v>
      </c>
      <c r="K460">
        <v>0.08</v>
      </c>
      <c r="L460" t="s">
        <v>64</v>
      </c>
      <c r="M460" t="s">
        <v>55</v>
      </c>
      <c r="N460" t="s">
        <v>27</v>
      </c>
      <c r="O460">
        <v>32220</v>
      </c>
      <c r="P460">
        <v>2577.6</v>
      </c>
      <c r="Q460">
        <v>29642.400000000001</v>
      </c>
      <c r="R460">
        <v>3</v>
      </c>
      <c r="S460" s="15">
        <f t="shared" si="7"/>
        <v>46082</v>
      </c>
    </row>
    <row r="461" spans="1:19">
      <c r="A461" t="s">
        <v>537</v>
      </c>
      <c r="B461" s="2">
        <v>46095</v>
      </c>
      <c r="C461" t="s">
        <v>82</v>
      </c>
      <c r="D461" t="s">
        <v>178</v>
      </c>
      <c r="E461" t="s">
        <v>21</v>
      </c>
      <c r="F461" t="s">
        <v>22</v>
      </c>
      <c r="G461" t="s">
        <v>152</v>
      </c>
      <c r="H461" t="s">
        <v>74</v>
      </c>
      <c r="I461">
        <v>1</v>
      </c>
      <c r="J461">
        <v>15490</v>
      </c>
      <c r="K461">
        <v>0.08</v>
      </c>
      <c r="L461" t="s">
        <v>64</v>
      </c>
      <c r="M461" t="s">
        <v>50</v>
      </c>
      <c r="N461" t="s">
        <v>27</v>
      </c>
      <c r="O461">
        <v>15490</v>
      </c>
      <c r="P461">
        <v>1239.2</v>
      </c>
      <c r="Q461">
        <v>14250.8</v>
      </c>
      <c r="R461">
        <v>3</v>
      </c>
      <c r="S461" s="15">
        <f t="shared" si="7"/>
        <v>46082</v>
      </c>
    </row>
    <row r="462" spans="1:19">
      <c r="A462" t="s">
        <v>538</v>
      </c>
      <c r="B462" s="2">
        <v>46096</v>
      </c>
      <c r="C462" t="s">
        <v>40</v>
      </c>
      <c r="D462" t="s">
        <v>115</v>
      </c>
      <c r="E462" t="s">
        <v>21</v>
      </c>
      <c r="F462" t="s">
        <v>22</v>
      </c>
      <c r="G462" t="s">
        <v>105</v>
      </c>
      <c r="H462" t="s">
        <v>24</v>
      </c>
      <c r="I462">
        <v>1</v>
      </c>
      <c r="J462">
        <v>3370</v>
      </c>
      <c r="K462">
        <v>0.05</v>
      </c>
      <c r="L462" t="s">
        <v>64</v>
      </c>
      <c r="M462" t="s">
        <v>50</v>
      </c>
      <c r="N462" t="s">
        <v>27</v>
      </c>
      <c r="O462">
        <v>3370</v>
      </c>
      <c r="P462">
        <v>168.5</v>
      </c>
      <c r="Q462">
        <v>3201.5</v>
      </c>
      <c r="R462">
        <v>2</v>
      </c>
      <c r="S462" s="15">
        <f t="shared" si="7"/>
        <v>46082</v>
      </c>
    </row>
    <row r="463" spans="1:19">
      <c r="A463" t="s">
        <v>539</v>
      </c>
      <c r="B463" s="2">
        <v>46097</v>
      </c>
      <c r="C463" t="s">
        <v>40</v>
      </c>
      <c r="D463" t="s">
        <v>41</v>
      </c>
      <c r="E463" t="s">
        <v>70</v>
      </c>
      <c r="F463" t="s">
        <v>53</v>
      </c>
      <c r="G463" t="s">
        <v>105</v>
      </c>
      <c r="H463" t="s">
        <v>24</v>
      </c>
      <c r="I463">
        <v>2</v>
      </c>
      <c r="J463">
        <v>3230</v>
      </c>
      <c r="K463">
        <v>0.08</v>
      </c>
      <c r="L463" t="s">
        <v>34</v>
      </c>
      <c r="M463" t="s">
        <v>38</v>
      </c>
      <c r="N463" t="s">
        <v>27</v>
      </c>
      <c r="O463">
        <v>6460</v>
      </c>
      <c r="P463">
        <v>516.79999999999995</v>
      </c>
      <c r="Q463">
        <v>5943.2</v>
      </c>
      <c r="R463">
        <v>2</v>
      </c>
      <c r="S463" s="15">
        <f t="shared" si="7"/>
        <v>46082</v>
      </c>
    </row>
    <row r="464" spans="1:19">
      <c r="A464" t="s">
        <v>540</v>
      </c>
      <c r="B464" s="2">
        <v>46097</v>
      </c>
      <c r="C464" t="s">
        <v>19</v>
      </c>
      <c r="D464" t="s">
        <v>103</v>
      </c>
      <c r="E464" t="s">
        <v>70</v>
      </c>
      <c r="F464" t="s">
        <v>22</v>
      </c>
      <c r="G464" t="s">
        <v>73</v>
      </c>
      <c r="H464" t="s">
        <v>74</v>
      </c>
      <c r="I464">
        <v>1</v>
      </c>
      <c r="J464">
        <v>11270</v>
      </c>
      <c r="K464">
        <v>0.05</v>
      </c>
      <c r="L464" t="s">
        <v>54</v>
      </c>
      <c r="M464" t="s">
        <v>44</v>
      </c>
      <c r="N464" t="s">
        <v>27</v>
      </c>
      <c r="O464">
        <v>11270</v>
      </c>
      <c r="P464">
        <v>563.5</v>
      </c>
      <c r="Q464">
        <v>10706.5</v>
      </c>
      <c r="R464">
        <v>3</v>
      </c>
      <c r="S464" s="15">
        <f t="shared" si="7"/>
        <v>46082</v>
      </c>
    </row>
    <row r="465" spans="1:19">
      <c r="A465" t="s">
        <v>541</v>
      </c>
      <c r="B465" s="2">
        <v>46098</v>
      </c>
      <c r="C465" t="s">
        <v>40</v>
      </c>
      <c r="D465" t="s">
        <v>41</v>
      </c>
      <c r="E465" t="s">
        <v>42</v>
      </c>
      <c r="F465" t="s">
        <v>22</v>
      </c>
      <c r="G465" t="s">
        <v>62</v>
      </c>
      <c r="H465" t="s">
        <v>33</v>
      </c>
      <c r="I465">
        <v>5</v>
      </c>
      <c r="J465">
        <v>1750</v>
      </c>
      <c r="K465">
        <v>0.1</v>
      </c>
      <c r="L465" t="s">
        <v>68</v>
      </c>
      <c r="M465" t="s">
        <v>35</v>
      </c>
      <c r="N465" t="s">
        <v>130</v>
      </c>
      <c r="O465">
        <v>8750</v>
      </c>
      <c r="P465">
        <v>875</v>
      </c>
      <c r="Q465">
        <v>7875</v>
      </c>
      <c r="R465">
        <v>3</v>
      </c>
      <c r="S465" s="15">
        <f t="shared" si="7"/>
        <v>46082</v>
      </c>
    </row>
    <row r="466" spans="1:19">
      <c r="A466" t="s">
        <v>542</v>
      </c>
      <c r="B466" s="2">
        <v>46099</v>
      </c>
      <c r="C466" t="s">
        <v>19</v>
      </c>
      <c r="D466" t="s">
        <v>52</v>
      </c>
      <c r="E466" t="s">
        <v>42</v>
      </c>
      <c r="F466" t="s">
        <v>31</v>
      </c>
      <c r="G466" t="s">
        <v>23</v>
      </c>
      <c r="H466" t="s">
        <v>24</v>
      </c>
      <c r="I466">
        <v>1</v>
      </c>
      <c r="J466">
        <v>28130</v>
      </c>
      <c r="K466">
        <v>0.03</v>
      </c>
      <c r="L466" t="s">
        <v>54</v>
      </c>
      <c r="M466" t="s">
        <v>44</v>
      </c>
      <c r="N466" t="s">
        <v>27</v>
      </c>
      <c r="O466">
        <v>28130</v>
      </c>
      <c r="P466">
        <v>843.9</v>
      </c>
      <c r="Q466">
        <v>27286.1</v>
      </c>
      <c r="R466">
        <v>2</v>
      </c>
      <c r="S466" s="15">
        <f t="shared" si="7"/>
        <v>46082</v>
      </c>
    </row>
    <row r="467" spans="1:19">
      <c r="A467" t="s">
        <v>543</v>
      </c>
      <c r="B467" s="2">
        <v>46100</v>
      </c>
      <c r="C467" t="s">
        <v>40</v>
      </c>
      <c r="D467" t="s">
        <v>47</v>
      </c>
      <c r="E467" t="s">
        <v>70</v>
      </c>
      <c r="F467" t="s">
        <v>53</v>
      </c>
      <c r="G467" t="s">
        <v>23</v>
      </c>
      <c r="H467" t="s">
        <v>24</v>
      </c>
      <c r="I467">
        <v>1</v>
      </c>
      <c r="J467">
        <v>28550</v>
      </c>
      <c r="K467">
        <v>0.05</v>
      </c>
      <c r="L467" t="s">
        <v>64</v>
      </c>
      <c r="M467" t="s">
        <v>50</v>
      </c>
      <c r="N467" t="s">
        <v>27</v>
      </c>
      <c r="O467">
        <v>28550</v>
      </c>
      <c r="P467">
        <v>1427.5</v>
      </c>
      <c r="Q467">
        <v>27122.5</v>
      </c>
      <c r="R467">
        <v>2</v>
      </c>
      <c r="S467" s="15">
        <f t="shared" si="7"/>
        <v>46082</v>
      </c>
    </row>
    <row r="468" spans="1:19">
      <c r="A468" t="s">
        <v>544</v>
      </c>
      <c r="B468" s="2">
        <v>46100</v>
      </c>
      <c r="C468" t="s">
        <v>82</v>
      </c>
      <c r="D468" t="s">
        <v>122</v>
      </c>
      <c r="E468" t="s">
        <v>21</v>
      </c>
      <c r="F468" t="s">
        <v>31</v>
      </c>
      <c r="G468" t="s">
        <v>105</v>
      </c>
      <c r="H468" t="s">
        <v>24</v>
      </c>
      <c r="I468">
        <v>1</v>
      </c>
      <c r="J468">
        <v>3290</v>
      </c>
      <c r="K468">
        <v>0.08</v>
      </c>
      <c r="L468" t="s">
        <v>64</v>
      </c>
      <c r="M468" t="s">
        <v>55</v>
      </c>
      <c r="N468" t="s">
        <v>27</v>
      </c>
      <c r="O468">
        <v>3290</v>
      </c>
      <c r="P468">
        <v>263.2</v>
      </c>
      <c r="Q468">
        <v>3026.8</v>
      </c>
      <c r="R468">
        <v>4</v>
      </c>
      <c r="S468" s="15">
        <f t="shared" si="7"/>
        <v>46082</v>
      </c>
    </row>
    <row r="469" spans="1:19">
      <c r="A469" t="s">
        <v>545</v>
      </c>
      <c r="B469" s="2">
        <v>46101</v>
      </c>
      <c r="C469" t="s">
        <v>29</v>
      </c>
      <c r="D469" t="s">
        <v>85</v>
      </c>
      <c r="E469" t="s">
        <v>42</v>
      </c>
      <c r="F469" t="s">
        <v>22</v>
      </c>
      <c r="G469" t="s">
        <v>23</v>
      </c>
      <c r="H469" t="s">
        <v>24</v>
      </c>
      <c r="I469">
        <v>4</v>
      </c>
      <c r="J469">
        <v>29130</v>
      </c>
      <c r="K469">
        <v>0</v>
      </c>
      <c r="L469" t="s">
        <v>54</v>
      </c>
      <c r="M469" t="s">
        <v>26</v>
      </c>
      <c r="N469" t="s">
        <v>27</v>
      </c>
      <c r="O469">
        <v>116520</v>
      </c>
      <c r="P469">
        <v>0</v>
      </c>
      <c r="Q469">
        <v>116520</v>
      </c>
      <c r="R469">
        <v>4</v>
      </c>
      <c r="S469" s="15">
        <f t="shared" si="7"/>
        <v>46082</v>
      </c>
    </row>
    <row r="470" spans="1:19">
      <c r="A470" t="s">
        <v>546</v>
      </c>
      <c r="B470" s="2">
        <v>46101</v>
      </c>
      <c r="C470" t="s">
        <v>19</v>
      </c>
      <c r="D470" t="s">
        <v>52</v>
      </c>
      <c r="E470" t="s">
        <v>70</v>
      </c>
      <c r="F470" t="s">
        <v>53</v>
      </c>
      <c r="G470" t="s">
        <v>37</v>
      </c>
      <c r="H470" t="s">
        <v>24</v>
      </c>
      <c r="I470">
        <v>5</v>
      </c>
      <c r="J470">
        <v>63150</v>
      </c>
      <c r="K470">
        <v>0</v>
      </c>
      <c r="L470" t="s">
        <v>25</v>
      </c>
      <c r="M470" t="s">
        <v>66</v>
      </c>
      <c r="N470" t="s">
        <v>27</v>
      </c>
      <c r="O470">
        <v>315750</v>
      </c>
      <c r="P470">
        <v>0</v>
      </c>
      <c r="Q470">
        <v>315750</v>
      </c>
      <c r="R470">
        <v>2</v>
      </c>
      <c r="S470" s="15">
        <f t="shared" si="7"/>
        <v>46082</v>
      </c>
    </row>
    <row r="471" spans="1:19">
      <c r="A471" t="s">
        <v>547</v>
      </c>
      <c r="B471" s="2">
        <v>46101</v>
      </c>
      <c r="C471" t="s">
        <v>40</v>
      </c>
      <c r="D471" t="s">
        <v>115</v>
      </c>
      <c r="E471" t="s">
        <v>21</v>
      </c>
      <c r="F471" t="s">
        <v>31</v>
      </c>
      <c r="G471" t="s">
        <v>43</v>
      </c>
      <c r="H471" t="s">
        <v>33</v>
      </c>
      <c r="I471">
        <v>3</v>
      </c>
      <c r="J471">
        <v>960</v>
      </c>
      <c r="K471">
        <v>0.03</v>
      </c>
      <c r="L471" t="s">
        <v>64</v>
      </c>
      <c r="M471" t="s">
        <v>35</v>
      </c>
      <c r="N471" t="s">
        <v>27</v>
      </c>
      <c r="O471">
        <v>2880</v>
      </c>
      <c r="P471">
        <v>86.4</v>
      </c>
      <c r="Q471">
        <v>2793.6</v>
      </c>
      <c r="R471">
        <v>2</v>
      </c>
      <c r="S471" s="15">
        <f t="shared" si="7"/>
        <v>46082</v>
      </c>
    </row>
    <row r="472" spans="1:19">
      <c r="A472" t="s">
        <v>548</v>
      </c>
      <c r="B472" s="2">
        <v>46102</v>
      </c>
      <c r="C472" t="s">
        <v>29</v>
      </c>
      <c r="D472" t="s">
        <v>85</v>
      </c>
      <c r="E472" t="s">
        <v>42</v>
      </c>
      <c r="F472" t="s">
        <v>22</v>
      </c>
      <c r="G472" t="s">
        <v>95</v>
      </c>
      <c r="H472" t="s">
        <v>24</v>
      </c>
      <c r="I472">
        <v>3</v>
      </c>
      <c r="J472">
        <v>21530</v>
      </c>
      <c r="K472">
        <v>0.05</v>
      </c>
      <c r="L472" t="s">
        <v>54</v>
      </c>
      <c r="M472" t="s">
        <v>66</v>
      </c>
      <c r="N472" t="s">
        <v>27</v>
      </c>
      <c r="O472">
        <v>64590</v>
      </c>
      <c r="P472">
        <v>3229.5</v>
      </c>
      <c r="Q472">
        <v>61360.5</v>
      </c>
      <c r="R472">
        <v>4</v>
      </c>
      <c r="S472" s="15">
        <f t="shared" si="7"/>
        <v>46082</v>
      </c>
    </row>
    <row r="473" spans="1:19">
      <c r="A473" t="s">
        <v>549</v>
      </c>
      <c r="B473" s="2">
        <v>46102</v>
      </c>
      <c r="C473" t="s">
        <v>40</v>
      </c>
      <c r="D473" t="s">
        <v>47</v>
      </c>
      <c r="E473" t="s">
        <v>42</v>
      </c>
      <c r="F473" t="s">
        <v>22</v>
      </c>
      <c r="G473" t="s">
        <v>101</v>
      </c>
      <c r="H473" t="s">
        <v>33</v>
      </c>
      <c r="I473">
        <v>1</v>
      </c>
      <c r="J473">
        <v>1790</v>
      </c>
      <c r="K473">
        <v>0</v>
      </c>
      <c r="L473" t="s">
        <v>64</v>
      </c>
      <c r="M473" t="s">
        <v>50</v>
      </c>
      <c r="N473" t="s">
        <v>27</v>
      </c>
      <c r="O473">
        <v>1790</v>
      </c>
      <c r="P473">
        <v>0</v>
      </c>
      <c r="Q473">
        <v>1790</v>
      </c>
      <c r="R473">
        <v>4</v>
      </c>
      <c r="S473" s="15">
        <f t="shared" si="7"/>
        <v>46082</v>
      </c>
    </row>
    <row r="474" spans="1:19">
      <c r="A474" t="s">
        <v>550</v>
      </c>
      <c r="B474" s="2">
        <v>46103</v>
      </c>
      <c r="C474" t="s">
        <v>40</v>
      </c>
      <c r="D474" t="s">
        <v>41</v>
      </c>
      <c r="E474" t="s">
        <v>21</v>
      </c>
      <c r="F474" t="s">
        <v>22</v>
      </c>
      <c r="G474" t="s">
        <v>73</v>
      </c>
      <c r="H474" t="s">
        <v>74</v>
      </c>
      <c r="I474">
        <v>5</v>
      </c>
      <c r="J474">
        <v>11440</v>
      </c>
      <c r="K474">
        <v>0</v>
      </c>
      <c r="L474" t="s">
        <v>64</v>
      </c>
      <c r="M474" t="s">
        <v>50</v>
      </c>
      <c r="N474" t="s">
        <v>27</v>
      </c>
      <c r="O474">
        <v>57200</v>
      </c>
      <c r="P474">
        <v>0</v>
      </c>
      <c r="Q474">
        <v>57200</v>
      </c>
      <c r="R474">
        <v>4</v>
      </c>
      <c r="S474" s="15">
        <f t="shared" si="7"/>
        <v>46082</v>
      </c>
    </row>
    <row r="475" spans="1:19">
      <c r="A475" t="s">
        <v>551</v>
      </c>
      <c r="B475" s="2">
        <v>46104</v>
      </c>
      <c r="C475" t="s">
        <v>82</v>
      </c>
      <c r="D475" t="s">
        <v>83</v>
      </c>
      <c r="E475" t="s">
        <v>42</v>
      </c>
      <c r="F475" t="s">
        <v>22</v>
      </c>
      <c r="G475" t="s">
        <v>149</v>
      </c>
      <c r="H475" t="s">
        <v>33</v>
      </c>
      <c r="I475">
        <v>3</v>
      </c>
      <c r="J475">
        <v>3760</v>
      </c>
      <c r="K475">
        <v>0</v>
      </c>
      <c r="L475" t="s">
        <v>68</v>
      </c>
      <c r="M475" t="s">
        <v>44</v>
      </c>
      <c r="N475" t="s">
        <v>27</v>
      </c>
      <c r="O475">
        <v>11280</v>
      </c>
      <c r="P475">
        <v>0</v>
      </c>
      <c r="Q475">
        <v>11280</v>
      </c>
      <c r="R475">
        <v>1</v>
      </c>
      <c r="S475" s="15">
        <f t="shared" si="7"/>
        <v>46082</v>
      </c>
    </row>
    <row r="476" spans="1:19">
      <c r="A476" t="s">
        <v>552</v>
      </c>
      <c r="B476" s="2">
        <v>46104</v>
      </c>
      <c r="C476" t="s">
        <v>29</v>
      </c>
      <c r="D476" t="s">
        <v>30</v>
      </c>
      <c r="E476" t="s">
        <v>21</v>
      </c>
      <c r="F476" t="s">
        <v>22</v>
      </c>
      <c r="G476" t="s">
        <v>23</v>
      </c>
      <c r="H476" t="s">
        <v>24</v>
      </c>
      <c r="I476">
        <v>1</v>
      </c>
      <c r="J476">
        <v>26430</v>
      </c>
      <c r="K476">
        <v>0.03</v>
      </c>
      <c r="L476" t="s">
        <v>68</v>
      </c>
      <c r="M476" t="s">
        <v>44</v>
      </c>
      <c r="N476" t="s">
        <v>27</v>
      </c>
      <c r="O476">
        <v>26430</v>
      </c>
      <c r="P476">
        <v>792.9</v>
      </c>
      <c r="Q476">
        <v>25637.1</v>
      </c>
      <c r="R476">
        <v>3</v>
      </c>
      <c r="S476" s="15">
        <f t="shared" si="7"/>
        <v>46082</v>
      </c>
    </row>
    <row r="477" spans="1:19">
      <c r="A477" t="s">
        <v>553</v>
      </c>
      <c r="B477" s="2">
        <v>46105</v>
      </c>
      <c r="C477" t="s">
        <v>40</v>
      </c>
      <c r="D477" t="s">
        <v>41</v>
      </c>
      <c r="E477" t="s">
        <v>42</v>
      </c>
      <c r="F477" t="s">
        <v>22</v>
      </c>
      <c r="G477" t="s">
        <v>37</v>
      </c>
      <c r="H477" t="s">
        <v>24</v>
      </c>
      <c r="I477">
        <v>2</v>
      </c>
      <c r="J477">
        <v>58380</v>
      </c>
      <c r="K477">
        <v>0.03</v>
      </c>
      <c r="L477" t="s">
        <v>68</v>
      </c>
      <c r="M477" t="s">
        <v>55</v>
      </c>
      <c r="N477" t="s">
        <v>27</v>
      </c>
      <c r="O477">
        <v>116760</v>
      </c>
      <c r="P477">
        <v>3502.8</v>
      </c>
      <c r="Q477">
        <v>113257.2</v>
      </c>
      <c r="R477">
        <v>6</v>
      </c>
      <c r="S477" s="15">
        <f t="shared" si="7"/>
        <v>46082</v>
      </c>
    </row>
    <row r="478" spans="1:19">
      <c r="A478" t="s">
        <v>554</v>
      </c>
      <c r="B478" s="2">
        <v>46105</v>
      </c>
      <c r="C478" t="s">
        <v>40</v>
      </c>
      <c r="D478" t="s">
        <v>47</v>
      </c>
      <c r="E478" t="s">
        <v>42</v>
      </c>
      <c r="F478" t="s">
        <v>22</v>
      </c>
      <c r="G478" t="s">
        <v>37</v>
      </c>
      <c r="H478" t="s">
        <v>24</v>
      </c>
      <c r="I478">
        <v>1</v>
      </c>
      <c r="J478">
        <v>65260</v>
      </c>
      <c r="K478">
        <v>0</v>
      </c>
      <c r="L478" t="s">
        <v>25</v>
      </c>
      <c r="M478" t="s">
        <v>50</v>
      </c>
      <c r="N478" t="s">
        <v>27</v>
      </c>
      <c r="O478">
        <v>65260</v>
      </c>
      <c r="P478">
        <v>0</v>
      </c>
      <c r="Q478">
        <v>65260</v>
      </c>
      <c r="R478">
        <v>3</v>
      </c>
      <c r="S478" s="15">
        <f t="shared" si="7"/>
        <v>46082</v>
      </c>
    </row>
    <row r="479" spans="1:19">
      <c r="A479" t="s">
        <v>555</v>
      </c>
      <c r="B479" s="2">
        <v>46105</v>
      </c>
      <c r="C479" t="s">
        <v>40</v>
      </c>
      <c r="D479" t="s">
        <v>115</v>
      </c>
      <c r="E479" t="s">
        <v>21</v>
      </c>
      <c r="F479" t="s">
        <v>22</v>
      </c>
      <c r="G479" t="s">
        <v>58</v>
      </c>
      <c r="H479" t="s">
        <v>59</v>
      </c>
      <c r="I479">
        <v>3</v>
      </c>
      <c r="J479">
        <v>7280</v>
      </c>
      <c r="K479">
        <v>0</v>
      </c>
      <c r="L479" t="s">
        <v>64</v>
      </c>
      <c r="M479" t="s">
        <v>55</v>
      </c>
      <c r="N479" t="s">
        <v>27</v>
      </c>
      <c r="O479">
        <v>21840</v>
      </c>
      <c r="P479">
        <v>0</v>
      </c>
      <c r="Q479">
        <v>21840</v>
      </c>
      <c r="R479">
        <v>4</v>
      </c>
      <c r="S479" s="15">
        <f t="shared" si="7"/>
        <v>46082</v>
      </c>
    </row>
    <row r="480" spans="1:19">
      <c r="A480" t="s">
        <v>556</v>
      </c>
      <c r="B480" s="2">
        <v>46106</v>
      </c>
      <c r="C480" t="s">
        <v>19</v>
      </c>
      <c r="D480" t="s">
        <v>52</v>
      </c>
      <c r="E480" t="s">
        <v>21</v>
      </c>
      <c r="F480" t="s">
        <v>31</v>
      </c>
      <c r="G480" t="s">
        <v>105</v>
      </c>
      <c r="H480" t="s">
        <v>24</v>
      </c>
      <c r="I480">
        <v>1</v>
      </c>
      <c r="J480">
        <v>3200</v>
      </c>
      <c r="K480">
        <v>0</v>
      </c>
      <c r="L480" t="s">
        <v>25</v>
      </c>
      <c r="M480" t="s">
        <v>71</v>
      </c>
      <c r="N480" t="s">
        <v>27</v>
      </c>
      <c r="O480">
        <v>3200</v>
      </c>
      <c r="P480">
        <v>0</v>
      </c>
      <c r="Q480">
        <v>3200</v>
      </c>
      <c r="R480">
        <v>3</v>
      </c>
      <c r="S480" s="15">
        <f t="shared" si="7"/>
        <v>46082</v>
      </c>
    </row>
    <row r="481" spans="1:19">
      <c r="A481" t="s">
        <v>557</v>
      </c>
      <c r="B481" s="2">
        <v>46107</v>
      </c>
      <c r="C481" t="s">
        <v>29</v>
      </c>
      <c r="D481" t="s">
        <v>85</v>
      </c>
      <c r="E481" t="s">
        <v>21</v>
      </c>
      <c r="F481" t="s">
        <v>22</v>
      </c>
      <c r="G481" t="s">
        <v>48</v>
      </c>
      <c r="H481" t="s">
        <v>49</v>
      </c>
      <c r="I481">
        <v>2</v>
      </c>
      <c r="J481">
        <v>12720</v>
      </c>
      <c r="K481">
        <v>0.08</v>
      </c>
      <c r="L481" t="s">
        <v>64</v>
      </c>
      <c r="M481" t="s">
        <v>55</v>
      </c>
      <c r="N481" t="s">
        <v>27</v>
      </c>
      <c r="O481">
        <v>25440</v>
      </c>
      <c r="P481">
        <v>2035.2</v>
      </c>
      <c r="Q481">
        <v>23404.799999999999</v>
      </c>
      <c r="R481">
        <v>2</v>
      </c>
      <c r="S481" s="15">
        <f t="shared" si="7"/>
        <v>46082</v>
      </c>
    </row>
    <row r="482" spans="1:19">
      <c r="A482" t="s">
        <v>558</v>
      </c>
      <c r="B482" s="2">
        <v>46107</v>
      </c>
      <c r="C482" t="s">
        <v>40</v>
      </c>
      <c r="D482" t="s">
        <v>89</v>
      </c>
      <c r="E482" t="s">
        <v>42</v>
      </c>
      <c r="F482" t="s">
        <v>22</v>
      </c>
      <c r="G482" t="s">
        <v>105</v>
      </c>
      <c r="H482" t="s">
        <v>24</v>
      </c>
      <c r="I482">
        <v>1</v>
      </c>
      <c r="J482">
        <v>3240</v>
      </c>
      <c r="K482">
        <v>0.05</v>
      </c>
      <c r="L482" t="s">
        <v>25</v>
      </c>
      <c r="M482" t="s">
        <v>55</v>
      </c>
      <c r="N482" t="s">
        <v>27</v>
      </c>
      <c r="O482">
        <v>3240</v>
      </c>
      <c r="P482">
        <v>162</v>
      </c>
      <c r="Q482">
        <v>3078</v>
      </c>
      <c r="R482">
        <v>3</v>
      </c>
      <c r="S482" s="15">
        <f t="shared" si="7"/>
        <v>46082</v>
      </c>
    </row>
    <row r="483" spans="1:19">
      <c r="A483" t="s">
        <v>559</v>
      </c>
      <c r="B483" s="2">
        <v>46107</v>
      </c>
      <c r="C483" t="s">
        <v>40</v>
      </c>
      <c r="D483" t="s">
        <v>740</v>
      </c>
      <c r="E483" t="s">
        <v>21</v>
      </c>
      <c r="F483" t="s">
        <v>22</v>
      </c>
      <c r="G483" t="s">
        <v>152</v>
      </c>
      <c r="H483" t="s">
        <v>74</v>
      </c>
      <c r="I483">
        <v>5</v>
      </c>
      <c r="J483">
        <v>15490</v>
      </c>
      <c r="K483">
        <v>0</v>
      </c>
      <c r="L483" t="s">
        <v>54</v>
      </c>
      <c r="M483" t="s">
        <v>55</v>
      </c>
      <c r="N483" t="s">
        <v>27</v>
      </c>
      <c r="O483">
        <v>77450</v>
      </c>
      <c r="P483">
        <v>0</v>
      </c>
      <c r="Q483">
        <v>77450</v>
      </c>
      <c r="R483">
        <v>5</v>
      </c>
      <c r="S483" s="15">
        <f t="shared" si="7"/>
        <v>46082</v>
      </c>
    </row>
    <row r="484" spans="1:19">
      <c r="A484" t="s">
        <v>560</v>
      </c>
      <c r="B484" s="2">
        <v>46107</v>
      </c>
      <c r="C484" t="s">
        <v>82</v>
      </c>
      <c r="D484" t="s">
        <v>122</v>
      </c>
      <c r="E484" t="s">
        <v>21</v>
      </c>
      <c r="F484" t="s">
        <v>22</v>
      </c>
      <c r="G484" t="s">
        <v>48</v>
      </c>
      <c r="H484" t="s">
        <v>49</v>
      </c>
      <c r="I484">
        <v>2</v>
      </c>
      <c r="J484">
        <v>12610</v>
      </c>
      <c r="K484">
        <v>0.08</v>
      </c>
      <c r="L484" t="s">
        <v>68</v>
      </c>
      <c r="M484" t="s">
        <v>35</v>
      </c>
      <c r="N484" t="s">
        <v>27</v>
      </c>
      <c r="O484">
        <v>25220</v>
      </c>
      <c r="P484">
        <v>2017.6</v>
      </c>
      <c r="Q484">
        <v>23202.400000000001</v>
      </c>
      <c r="R484">
        <v>1</v>
      </c>
      <c r="S484" s="15">
        <f t="shared" si="7"/>
        <v>46082</v>
      </c>
    </row>
    <row r="485" spans="1:19">
      <c r="A485" t="s">
        <v>561</v>
      </c>
      <c r="B485" s="2">
        <v>46108</v>
      </c>
      <c r="C485" t="s">
        <v>29</v>
      </c>
      <c r="D485" t="s">
        <v>78</v>
      </c>
      <c r="E485" t="s">
        <v>42</v>
      </c>
      <c r="F485" t="s">
        <v>22</v>
      </c>
      <c r="G485" t="s">
        <v>92</v>
      </c>
      <c r="H485" t="s">
        <v>24</v>
      </c>
      <c r="I485">
        <v>3</v>
      </c>
      <c r="J485">
        <v>15890</v>
      </c>
      <c r="K485">
        <v>0.03</v>
      </c>
      <c r="L485" t="s">
        <v>64</v>
      </c>
      <c r="M485" t="s">
        <v>38</v>
      </c>
      <c r="N485" t="s">
        <v>27</v>
      </c>
      <c r="O485">
        <v>47670</v>
      </c>
      <c r="P485">
        <v>1430.1</v>
      </c>
      <c r="Q485">
        <v>46239.9</v>
      </c>
      <c r="R485">
        <v>4</v>
      </c>
      <c r="S485" s="15">
        <f t="shared" si="7"/>
        <v>46082</v>
      </c>
    </row>
    <row r="486" spans="1:19">
      <c r="A486" t="s">
        <v>562</v>
      </c>
      <c r="B486" s="2">
        <v>46108</v>
      </c>
      <c r="C486" t="s">
        <v>40</v>
      </c>
      <c r="D486" t="s">
        <v>115</v>
      </c>
      <c r="E486" t="s">
        <v>21</v>
      </c>
      <c r="F486" t="s">
        <v>22</v>
      </c>
      <c r="G486" t="s">
        <v>37</v>
      </c>
      <c r="H486" t="s">
        <v>24</v>
      </c>
      <c r="I486">
        <v>2</v>
      </c>
      <c r="J486">
        <v>64120</v>
      </c>
      <c r="K486">
        <v>0.03</v>
      </c>
      <c r="L486" t="s">
        <v>68</v>
      </c>
      <c r="M486" t="s">
        <v>35</v>
      </c>
      <c r="N486" t="s">
        <v>27</v>
      </c>
      <c r="O486">
        <v>128240</v>
      </c>
      <c r="P486">
        <v>3847.2</v>
      </c>
      <c r="Q486">
        <v>124392.8</v>
      </c>
      <c r="R486">
        <v>4</v>
      </c>
      <c r="S486" s="15">
        <f t="shared" si="7"/>
        <v>46082</v>
      </c>
    </row>
    <row r="487" spans="1:19">
      <c r="A487" t="s">
        <v>563</v>
      </c>
      <c r="B487" s="2">
        <v>46108</v>
      </c>
      <c r="C487" t="s">
        <v>40</v>
      </c>
      <c r="D487" t="s">
        <v>115</v>
      </c>
      <c r="E487" t="s">
        <v>70</v>
      </c>
      <c r="F487" t="s">
        <v>22</v>
      </c>
      <c r="G487" t="s">
        <v>105</v>
      </c>
      <c r="H487" t="s">
        <v>24</v>
      </c>
      <c r="I487">
        <v>1</v>
      </c>
      <c r="J487">
        <v>3230</v>
      </c>
      <c r="K487">
        <v>0.03</v>
      </c>
      <c r="L487" t="s">
        <v>25</v>
      </c>
      <c r="M487" t="s">
        <v>38</v>
      </c>
      <c r="N487" t="s">
        <v>27</v>
      </c>
      <c r="O487">
        <v>3230</v>
      </c>
      <c r="P487">
        <v>96.9</v>
      </c>
      <c r="Q487">
        <v>3133.1</v>
      </c>
      <c r="R487">
        <v>1</v>
      </c>
      <c r="S487" s="15">
        <f t="shared" si="7"/>
        <v>46082</v>
      </c>
    </row>
    <row r="488" spans="1:19">
      <c r="A488" t="s">
        <v>564</v>
      </c>
      <c r="B488" s="2">
        <v>46109</v>
      </c>
      <c r="C488" t="s">
        <v>29</v>
      </c>
      <c r="D488" t="s">
        <v>30</v>
      </c>
      <c r="E488" t="s">
        <v>42</v>
      </c>
      <c r="F488" t="s">
        <v>31</v>
      </c>
      <c r="G488" t="s">
        <v>43</v>
      </c>
      <c r="H488" t="s">
        <v>33</v>
      </c>
      <c r="I488">
        <v>1</v>
      </c>
      <c r="J488">
        <v>1010</v>
      </c>
      <c r="K488">
        <v>0.15</v>
      </c>
      <c r="L488" t="s">
        <v>64</v>
      </c>
      <c r="M488" t="s">
        <v>38</v>
      </c>
      <c r="N488" t="s">
        <v>27</v>
      </c>
      <c r="O488">
        <v>1010</v>
      </c>
      <c r="P488">
        <v>151.5</v>
      </c>
      <c r="Q488">
        <v>858.5</v>
      </c>
      <c r="R488">
        <v>3</v>
      </c>
      <c r="S488" s="15">
        <f t="shared" si="7"/>
        <v>46082</v>
      </c>
    </row>
    <row r="489" spans="1:19">
      <c r="A489" t="s">
        <v>565</v>
      </c>
      <c r="B489" s="2">
        <v>46109</v>
      </c>
      <c r="C489" t="s">
        <v>40</v>
      </c>
      <c r="D489" t="s">
        <v>89</v>
      </c>
      <c r="E489" t="s">
        <v>70</v>
      </c>
      <c r="F489" t="s">
        <v>22</v>
      </c>
      <c r="G489" t="s">
        <v>23</v>
      </c>
      <c r="H489" t="s">
        <v>24</v>
      </c>
      <c r="I489">
        <v>1</v>
      </c>
      <c r="J489">
        <v>26430</v>
      </c>
      <c r="K489">
        <v>0.03</v>
      </c>
      <c r="L489" t="s">
        <v>25</v>
      </c>
      <c r="M489" t="s">
        <v>55</v>
      </c>
      <c r="N489" t="s">
        <v>27</v>
      </c>
      <c r="O489">
        <v>26430</v>
      </c>
      <c r="P489">
        <v>792.9</v>
      </c>
      <c r="Q489">
        <v>25637.1</v>
      </c>
      <c r="R489">
        <v>2</v>
      </c>
      <c r="S489" s="15">
        <f t="shared" si="7"/>
        <v>46082</v>
      </c>
    </row>
    <row r="490" spans="1:19">
      <c r="A490" t="s">
        <v>566</v>
      </c>
      <c r="B490" s="2">
        <v>46109</v>
      </c>
      <c r="C490" t="s">
        <v>40</v>
      </c>
      <c r="D490" t="s">
        <v>41</v>
      </c>
      <c r="E490" t="s">
        <v>42</v>
      </c>
      <c r="F490" t="s">
        <v>22</v>
      </c>
      <c r="G490" t="s">
        <v>152</v>
      </c>
      <c r="H490" t="s">
        <v>74</v>
      </c>
      <c r="I490">
        <v>5</v>
      </c>
      <c r="J490">
        <v>14350</v>
      </c>
      <c r="K490">
        <v>0.03</v>
      </c>
      <c r="L490" t="s">
        <v>68</v>
      </c>
      <c r="M490" t="s">
        <v>71</v>
      </c>
      <c r="N490" t="s">
        <v>27</v>
      </c>
      <c r="O490">
        <v>71750</v>
      </c>
      <c r="P490">
        <v>2152.5</v>
      </c>
      <c r="Q490">
        <v>69597.5</v>
      </c>
      <c r="R490">
        <v>3</v>
      </c>
      <c r="S490" s="15">
        <f t="shared" si="7"/>
        <v>46082</v>
      </c>
    </row>
    <row r="491" spans="1:19">
      <c r="A491" t="s">
        <v>567</v>
      </c>
      <c r="B491" s="2">
        <v>46109</v>
      </c>
      <c r="C491" t="s">
        <v>29</v>
      </c>
      <c r="D491" t="s">
        <v>78</v>
      </c>
      <c r="E491" t="s">
        <v>70</v>
      </c>
      <c r="F491" t="s">
        <v>22</v>
      </c>
      <c r="G491" t="s">
        <v>62</v>
      </c>
      <c r="H491" t="s">
        <v>33</v>
      </c>
      <c r="I491">
        <v>2</v>
      </c>
      <c r="J491">
        <v>1750</v>
      </c>
      <c r="K491">
        <v>0.08</v>
      </c>
      <c r="L491" t="s">
        <v>68</v>
      </c>
      <c r="M491" t="s">
        <v>71</v>
      </c>
      <c r="N491" t="s">
        <v>27</v>
      </c>
      <c r="O491">
        <v>3500</v>
      </c>
      <c r="P491">
        <v>280</v>
      </c>
      <c r="Q491">
        <v>3220</v>
      </c>
      <c r="R491">
        <v>2</v>
      </c>
      <c r="S491" s="15">
        <f t="shared" si="7"/>
        <v>46082</v>
      </c>
    </row>
    <row r="492" spans="1:19">
      <c r="A492" t="s">
        <v>568</v>
      </c>
      <c r="B492" s="2">
        <v>46109</v>
      </c>
      <c r="C492" t="s">
        <v>29</v>
      </c>
      <c r="D492" t="s">
        <v>78</v>
      </c>
      <c r="E492" t="s">
        <v>42</v>
      </c>
      <c r="F492" t="s">
        <v>22</v>
      </c>
      <c r="G492" t="s">
        <v>58</v>
      </c>
      <c r="H492" t="s">
        <v>59</v>
      </c>
      <c r="I492">
        <v>2</v>
      </c>
      <c r="J492">
        <v>7550</v>
      </c>
      <c r="K492">
        <v>0.08</v>
      </c>
      <c r="L492" t="s">
        <v>68</v>
      </c>
      <c r="M492" t="s">
        <v>38</v>
      </c>
      <c r="N492" t="s">
        <v>27</v>
      </c>
      <c r="O492">
        <v>15100</v>
      </c>
      <c r="P492">
        <v>1208</v>
      </c>
      <c r="Q492">
        <v>13892</v>
      </c>
      <c r="R492">
        <v>3</v>
      </c>
      <c r="S492" s="15">
        <f t="shared" si="7"/>
        <v>46082</v>
      </c>
    </row>
    <row r="493" spans="1:19">
      <c r="A493" t="s">
        <v>569</v>
      </c>
      <c r="B493" s="2">
        <v>46109</v>
      </c>
      <c r="C493" t="s">
        <v>40</v>
      </c>
      <c r="D493" t="s">
        <v>89</v>
      </c>
      <c r="E493" t="s">
        <v>42</v>
      </c>
      <c r="F493" t="s">
        <v>31</v>
      </c>
      <c r="G493" t="s">
        <v>58</v>
      </c>
      <c r="H493" t="s">
        <v>59</v>
      </c>
      <c r="I493">
        <v>1</v>
      </c>
      <c r="J493">
        <v>6940</v>
      </c>
      <c r="K493">
        <v>0.03</v>
      </c>
      <c r="L493" t="s">
        <v>68</v>
      </c>
      <c r="M493" t="s">
        <v>66</v>
      </c>
      <c r="N493" t="s">
        <v>45</v>
      </c>
      <c r="O493">
        <v>0</v>
      </c>
      <c r="P493">
        <v>0</v>
      </c>
      <c r="Q493">
        <v>0</v>
      </c>
      <c r="S493" s="15">
        <f t="shared" si="7"/>
        <v>46082</v>
      </c>
    </row>
    <row r="494" spans="1:19">
      <c r="A494" t="s">
        <v>570</v>
      </c>
      <c r="B494" s="2">
        <v>46110</v>
      </c>
      <c r="C494" t="s">
        <v>29</v>
      </c>
      <c r="D494" t="s">
        <v>30</v>
      </c>
      <c r="E494" t="s">
        <v>70</v>
      </c>
      <c r="F494" t="s">
        <v>22</v>
      </c>
      <c r="G494" t="s">
        <v>23</v>
      </c>
      <c r="H494" t="s">
        <v>24</v>
      </c>
      <c r="I494">
        <v>5</v>
      </c>
      <c r="J494">
        <v>28160</v>
      </c>
      <c r="K494">
        <v>0.05</v>
      </c>
      <c r="L494" t="s">
        <v>68</v>
      </c>
      <c r="M494" t="s">
        <v>66</v>
      </c>
      <c r="N494" t="s">
        <v>27</v>
      </c>
      <c r="O494">
        <v>140800</v>
      </c>
      <c r="P494">
        <v>7040</v>
      </c>
      <c r="Q494">
        <v>133760</v>
      </c>
      <c r="R494">
        <v>2</v>
      </c>
      <c r="S494" s="15">
        <f t="shared" si="7"/>
        <v>46082</v>
      </c>
    </row>
    <row r="495" spans="1:19">
      <c r="A495" t="s">
        <v>571</v>
      </c>
      <c r="B495" s="2">
        <v>46111</v>
      </c>
      <c r="C495" t="s">
        <v>82</v>
      </c>
      <c r="D495" t="s">
        <v>83</v>
      </c>
      <c r="E495" t="s">
        <v>21</v>
      </c>
      <c r="F495" t="s">
        <v>22</v>
      </c>
      <c r="G495" t="s">
        <v>37</v>
      </c>
      <c r="H495" t="s">
        <v>24</v>
      </c>
      <c r="I495">
        <v>3</v>
      </c>
      <c r="J495">
        <v>58330</v>
      </c>
      <c r="K495">
        <v>0.03</v>
      </c>
      <c r="L495" t="s">
        <v>68</v>
      </c>
      <c r="M495" t="s">
        <v>55</v>
      </c>
      <c r="N495" t="s">
        <v>27</v>
      </c>
      <c r="O495">
        <v>174990</v>
      </c>
      <c r="P495">
        <v>5249.7</v>
      </c>
      <c r="Q495">
        <v>169740.3</v>
      </c>
      <c r="R495">
        <v>2</v>
      </c>
      <c r="S495" s="15">
        <f t="shared" si="7"/>
        <v>46082</v>
      </c>
    </row>
    <row r="496" spans="1:19">
      <c r="A496" t="s">
        <v>572</v>
      </c>
      <c r="B496" s="2">
        <v>46112</v>
      </c>
      <c r="C496" t="s">
        <v>40</v>
      </c>
      <c r="D496" t="s">
        <v>47</v>
      </c>
      <c r="E496" t="s">
        <v>70</v>
      </c>
      <c r="F496" t="s">
        <v>22</v>
      </c>
      <c r="G496" t="s">
        <v>37</v>
      </c>
      <c r="H496" t="s">
        <v>24</v>
      </c>
      <c r="I496">
        <v>1</v>
      </c>
      <c r="J496">
        <v>59540</v>
      </c>
      <c r="K496">
        <v>0.15</v>
      </c>
      <c r="L496" t="s">
        <v>68</v>
      </c>
      <c r="M496" t="s">
        <v>71</v>
      </c>
      <c r="N496" t="s">
        <v>27</v>
      </c>
      <c r="O496">
        <v>59540</v>
      </c>
      <c r="P496">
        <v>8931</v>
      </c>
      <c r="Q496">
        <v>50609</v>
      </c>
      <c r="R496">
        <v>6</v>
      </c>
      <c r="S496" s="15">
        <f t="shared" si="7"/>
        <v>46082</v>
      </c>
    </row>
    <row r="497" spans="1:19">
      <c r="A497" t="s">
        <v>573</v>
      </c>
      <c r="B497" s="2">
        <v>46113</v>
      </c>
      <c r="C497" t="s">
        <v>40</v>
      </c>
      <c r="D497" t="s">
        <v>115</v>
      </c>
      <c r="E497" t="s">
        <v>21</v>
      </c>
      <c r="F497" t="s">
        <v>22</v>
      </c>
      <c r="G497" t="s">
        <v>43</v>
      </c>
      <c r="H497" t="s">
        <v>33</v>
      </c>
      <c r="I497">
        <v>1</v>
      </c>
      <c r="J497">
        <v>1000</v>
      </c>
      <c r="K497">
        <v>0.05</v>
      </c>
      <c r="L497" t="s">
        <v>54</v>
      </c>
      <c r="M497" t="s">
        <v>35</v>
      </c>
      <c r="N497" t="s">
        <v>27</v>
      </c>
      <c r="O497">
        <v>1000</v>
      </c>
      <c r="P497">
        <v>50</v>
      </c>
      <c r="Q497">
        <v>950</v>
      </c>
      <c r="R497">
        <v>1</v>
      </c>
      <c r="S497" s="15">
        <f t="shared" si="7"/>
        <v>46113</v>
      </c>
    </row>
    <row r="498" spans="1:19">
      <c r="A498" t="s">
        <v>574</v>
      </c>
      <c r="B498" s="2">
        <v>46113</v>
      </c>
      <c r="C498" t="s">
        <v>29</v>
      </c>
      <c r="D498" t="s">
        <v>85</v>
      </c>
      <c r="E498" t="s">
        <v>70</v>
      </c>
      <c r="F498" t="s">
        <v>53</v>
      </c>
      <c r="G498" t="s">
        <v>32</v>
      </c>
      <c r="H498" t="s">
        <v>33</v>
      </c>
      <c r="I498">
        <v>3</v>
      </c>
      <c r="J498">
        <v>2540</v>
      </c>
      <c r="K498">
        <v>0.05</v>
      </c>
      <c r="L498" t="s">
        <v>64</v>
      </c>
      <c r="M498" t="s">
        <v>35</v>
      </c>
      <c r="N498" t="s">
        <v>27</v>
      </c>
      <c r="O498">
        <v>7620</v>
      </c>
      <c r="P498">
        <v>381</v>
      </c>
      <c r="Q498">
        <v>7239</v>
      </c>
      <c r="R498">
        <v>2</v>
      </c>
      <c r="S498" s="15">
        <f t="shared" si="7"/>
        <v>46113</v>
      </c>
    </row>
    <row r="499" spans="1:19">
      <c r="A499" t="s">
        <v>575</v>
      </c>
      <c r="B499" s="2">
        <v>46115</v>
      </c>
      <c r="C499" t="s">
        <v>19</v>
      </c>
      <c r="D499" t="s">
        <v>52</v>
      </c>
      <c r="E499" t="s">
        <v>42</v>
      </c>
      <c r="F499" t="s">
        <v>22</v>
      </c>
      <c r="G499" t="s">
        <v>37</v>
      </c>
      <c r="H499" t="s">
        <v>24</v>
      </c>
      <c r="I499">
        <v>4</v>
      </c>
      <c r="J499">
        <v>61700</v>
      </c>
      <c r="K499">
        <v>0.05</v>
      </c>
      <c r="L499" t="s">
        <v>34</v>
      </c>
      <c r="M499" t="s">
        <v>44</v>
      </c>
      <c r="N499" t="s">
        <v>27</v>
      </c>
      <c r="O499">
        <v>246800</v>
      </c>
      <c r="P499">
        <v>12340</v>
      </c>
      <c r="Q499">
        <v>234460</v>
      </c>
      <c r="R499">
        <v>1</v>
      </c>
      <c r="S499" s="15">
        <f t="shared" si="7"/>
        <v>46113</v>
      </c>
    </row>
    <row r="500" spans="1:19">
      <c r="A500" t="s">
        <v>576</v>
      </c>
      <c r="B500" s="2">
        <v>46116</v>
      </c>
      <c r="C500" t="s">
        <v>19</v>
      </c>
      <c r="D500" t="s">
        <v>20</v>
      </c>
      <c r="E500" t="s">
        <v>21</v>
      </c>
      <c r="F500" t="s">
        <v>22</v>
      </c>
      <c r="G500" t="s">
        <v>37</v>
      </c>
      <c r="H500" t="s">
        <v>24</v>
      </c>
      <c r="I500">
        <v>1</v>
      </c>
      <c r="J500">
        <v>61970</v>
      </c>
      <c r="K500">
        <v>0.03</v>
      </c>
      <c r="L500" t="s">
        <v>34</v>
      </c>
      <c r="M500" t="s">
        <v>66</v>
      </c>
      <c r="N500" t="s">
        <v>27</v>
      </c>
      <c r="O500">
        <v>61970</v>
      </c>
      <c r="P500">
        <v>1859.1</v>
      </c>
      <c r="Q500">
        <v>60110.9</v>
      </c>
      <c r="R500">
        <v>2</v>
      </c>
      <c r="S500" s="15">
        <f t="shared" si="7"/>
        <v>46113</v>
      </c>
    </row>
    <row r="501" spans="1:19">
      <c r="A501" t="s">
        <v>577</v>
      </c>
      <c r="B501" s="2">
        <v>46117</v>
      </c>
      <c r="C501" t="s">
        <v>40</v>
      </c>
      <c r="D501" t="s">
        <v>115</v>
      </c>
      <c r="E501" t="s">
        <v>42</v>
      </c>
      <c r="F501" t="s">
        <v>22</v>
      </c>
      <c r="G501" t="s">
        <v>48</v>
      </c>
      <c r="H501" t="s">
        <v>49</v>
      </c>
      <c r="I501">
        <v>1</v>
      </c>
      <c r="J501">
        <v>13130</v>
      </c>
      <c r="K501">
        <v>0.03</v>
      </c>
      <c r="L501" t="s">
        <v>54</v>
      </c>
      <c r="M501" t="s">
        <v>26</v>
      </c>
      <c r="N501" t="s">
        <v>27</v>
      </c>
      <c r="O501">
        <v>13130</v>
      </c>
      <c r="P501">
        <v>393.9</v>
      </c>
      <c r="Q501">
        <v>12736.1</v>
      </c>
      <c r="R501">
        <v>2</v>
      </c>
      <c r="S501" s="15">
        <f t="shared" si="7"/>
        <v>46113</v>
      </c>
    </row>
    <row r="502" spans="1:19">
      <c r="A502" t="s">
        <v>578</v>
      </c>
      <c r="B502" s="2">
        <v>46117</v>
      </c>
      <c r="C502" t="s">
        <v>29</v>
      </c>
      <c r="D502" t="s">
        <v>61</v>
      </c>
      <c r="E502" t="s">
        <v>42</v>
      </c>
      <c r="F502" t="s">
        <v>22</v>
      </c>
      <c r="G502" t="s">
        <v>62</v>
      </c>
      <c r="H502" t="s">
        <v>33</v>
      </c>
      <c r="I502">
        <v>5</v>
      </c>
      <c r="J502">
        <v>1730</v>
      </c>
      <c r="K502">
        <v>0.1</v>
      </c>
      <c r="L502" t="s">
        <v>25</v>
      </c>
      <c r="M502" t="s">
        <v>38</v>
      </c>
      <c r="N502" t="s">
        <v>27</v>
      </c>
      <c r="O502">
        <v>8650</v>
      </c>
      <c r="P502">
        <v>865</v>
      </c>
      <c r="Q502">
        <v>7785</v>
      </c>
      <c r="R502">
        <v>2</v>
      </c>
      <c r="S502" s="15">
        <f t="shared" si="7"/>
        <v>46113</v>
      </c>
    </row>
    <row r="503" spans="1:19">
      <c r="A503" t="s">
        <v>579</v>
      </c>
      <c r="B503" s="2">
        <v>46118</v>
      </c>
      <c r="C503" t="s">
        <v>29</v>
      </c>
      <c r="D503" t="s">
        <v>30</v>
      </c>
      <c r="E503" t="s">
        <v>21</v>
      </c>
      <c r="F503" t="s">
        <v>31</v>
      </c>
      <c r="G503" t="s">
        <v>48</v>
      </c>
      <c r="H503" t="s">
        <v>49</v>
      </c>
      <c r="I503">
        <v>3</v>
      </c>
      <c r="J503">
        <v>12190</v>
      </c>
      <c r="K503">
        <v>0</v>
      </c>
      <c r="L503" t="s">
        <v>64</v>
      </c>
      <c r="M503" t="s">
        <v>66</v>
      </c>
      <c r="N503" t="s">
        <v>27</v>
      </c>
      <c r="O503">
        <v>36570</v>
      </c>
      <c r="P503">
        <v>0</v>
      </c>
      <c r="Q503">
        <v>36570</v>
      </c>
      <c r="R503">
        <v>5</v>
      </c>
      <c r="S503" s="15">
        <f t="shared" si="7"/>
        <v>46113</v>
      </c>
    </row>
    <row r="504" spans="1:19">
      <c r="A504" t="s">
        <v>580</v>
      </c>
      <c r="B504" s="2">
        <v>46118</v>
      </c>
      <c r="C504" t="s">
        <v>40</v>
      </c>
      <c r="D504" t="s">
        <v>47</v>
      </c>
      <c r="E504" t="s">
        <v>42</v>
      </c>
      <c r="F504" t="s">
        <v>31</v>
      </c>
      <c r="G504" t="s">
        <v>73</v>
      </c>
      <c r="H504" t="s">
        <v>74</v>
      </c>
      <c r="I504">
        <v>3</v>
      </c>
      <c r="J504">
        <v>11290</v>
      </c>
      <c r="K504">
        <v>0.05</v>
      </c>
      <c r="L504" t="s">
        <v>64</v>
      </c>
      <c r="M504" t="s">
        <v>66</v>
      </c>
      <c r="N504" t="s">
        <v>27</v>
      </c>
      <c r="O504">
        <v>33870</v>
      </c>
      <c r="P504">
        <v>1693.5</v>
      </c>
      <c r="Q504">
        <v>32176.5</v>
      </c>
      <c r="R504">
        <v>2</v>
      </c>
      <c r="S504" s="15">
        <f t="shared" si="7"/>
        <v>46113</v>
      </c>
    </row>
    <row r="505" spans="1:19">
      <c r="A505" t="s">
        <v>581</v>
      </c>
      <c r="B505" s="2">
        <v>46119</v>
      </c>
      <c r="C505" t="s">
        <v>29</v>
      </c>
      <c r="D505" t="s">
        <v>85</v>
      </c>
      <c r="E505" t="s">
        <v>21</v>
      </c>
      <c r="F505" t="s">
        <v>22</v>
      </c>
      <c r="G505" t="s">
        <v>58</v>
      </c>
      <c r="H505" t="s">
        <v>59</v>
      </c>
      <c r="I505">
        <v>1</v>
      </c>
      <c r="J505">
        <v>7150</v>
      </c>
      <c r="K505">
        <v>0.05</v>
      </c>
      <c r="L505" t="s">
        <v>68</v>
      </c>
      <c r="M505" t="s">
        <v>50</v>
      </c>
      <c r="N505" t="s">
        <v>27</v>
      </c>
      <c r="O505">
        <v>7150</v>
      </c>
      <c r="P505">
        <v>357.5</v>
      </c>
      <c r="Q505">
        <v>6792.5</v>
      </c>
      <c r="R505">
        <v>3</v>
      </c>
      <c r="S505" s="15">
        <f t="shared" si="7"/>
        <v>46113</v>
      </c>
    </row>
    <row r="506" spans="1:19">
      <c r="A506" t="s">
        <v>582</v>
      </c>
      <c r="B506" s="2">
        <v>46121</v>
      </c>
      <c r="C506" t="s">
        <v>19</v>
      </c>
      <c r="D506" t="s">
        <v>20</v>
      </c>
      <c r="E506" t="s">
        <v>42</v>
      </c>
      <c r="F506" t="s">
        <v>53</v>
      </c>
      <c r="G506" t="s">
        <v>152</v>
      </c>
      <c r="H506" t="s">
        <v>74</v>
      </c>
      <c r="I506">
        <v>4</v>
      </c>
      <c r="J506">
        <v>14940</v>
      </c>
      <c r="K506">
        <v>0.05</v>
      </c>
      <c r="L506" t="s">
        <v>34</v>
      </c>
      <c r="M506" t="s">
        <v>38</v>
      </c>
      <c r="N506" t="s">
        <v>45</v>
      </c>
      <c r="O506">
        <v>0</v>
      </c>
      <c r="P506">
        <v>0</v>
      </c>
      <c r="Q506">
        <v>0</v>
      </c>
      <c r="S506" s="15">
        <f t="shared" si="7"/>
        <v>46113</v>
      </c>
    </row>
    <row r="507" spans="1:19">
      <c r="A507" t="s">
        <v>583</v>
      </c>
      <c r="B507" s="2">
        <v>46121</v>
      </c>
      <c r="C507" t="s">
        <v>19</v>
      </c>
      <c r="D507" t="s">
        <v>103</v>
      </c>
      <c r="E507" t="s">
        <v>21</v>
      </c>
      <c r="F507" t="s">
        <v>22</v>
      </c>
      <c r="G507" t="s">
        <v>23</v>
      </c>
      <c r="H507" t="s">
        <v>24</v>
      </c>
      <c r="I507">
        <v>1</v>
      </c>
      <c r="J507">
        <v>28500</v>
      </c>
      <c r="K507">
        <v>0.08</v>
      </c>
      <c r="L507" t="s">
        <v>68</v>
      </c>
      <c r="M507" t="s">
        <v>50</v>
      </c>
      <c r="N507" t="s">
        <v>27</v>
      </c>
      <c r="O507">
        <v>28500</v>
      </c>
      <c r="P507">
        <v>2280</v>
      </c>
      <c r="Q507">
        <v>26220</v>
      </c>
      <c r="R507">
        <v>2</v>
      </c>
      <c r="S507" s="15">
        <f t="shared" si="7"/>
        <v>46113</v>
      </c>
    </row>
    <row r="508" spans="1:19">
      <c r="A508" t="s">
        <v>584</v>
      </c>
      <c r="B508" s="2">
        <v>46122</v>
      </c>
      <c r="C508" t="s">
        <v>40</v>
      </c>
      <c r="D508" t="s">
        <v>47</v>
      </c>
      <c r="E508" t="s">
        <v>42</v>
      </c>
      <c r="F508" t="s">
        <v>22</v>
      </c>
      <c r="G508" t="s">
        <v>23</v>
      </c>
      <c r="H508" t="s">
        <v>24</v>
      </c>
      <c r="I508">
        <v>1</v>
      </c>
      <c r="J508">
        <v>29380</v>
      </c>
      <c r="K508">
        <v>0</v>
      </c>
      <c r="L508" t="s">
        <v>64</v>
      </c>
      <c r="M508" t="s">
        <v>66</v>
      </c>
      <c r="N508" t="s">
        <v>27</v>
      </c>
      <c r="O508">
        <v>29380</v>
      </c>
      <c r="P508">
        <v>0</v>
      </c>
      <c r="Q508">
        <v>29380</v>
      </c>
      <c r="R508">
        <v>4</v>
      </c>
      <c r="S508" s="15">
        <f t="shared" si="7"/>
        <v>46113</v>
      </c>
    </row>
    <row r="509" spans="1:19">
      <c r="A509" t="s">
        <v>585</v>
      </c>
      <c r="B509" s="2">
        <v>46122</v>
      </c>
      <c r="C509" t="s">
        <v>19</v>
      </c>
      <c r="D509" t="s">
        <v>57</v>
      </c>
      <c r="E509" t="s">
        <v>70</v>
      </c>
      <c r="F509" t="s">
        <v>22</v>
      </c>
      <c r="G509" t="s">
        <v>95</v>
      </c>
      <c r="H509" t="s">
        <v>24</v>
      </c>
      <c r="I509">
        <v>2</v>
      </c>
      <c r="J509">
        <v>21480</v>
      </c>
      <c r="K509">
        <v>0.05</v>
      </c>
      <c r="L509" t="s">
        <v>64</v>
      </c>
      <c r="M509" t="s">
        <v>66</v>
      </c>
      <c r="N509" t="s">
        <v>27</v>
      </c>
      <c r="O509">
        <v>42960</v>
      </c>
      <c r="P509">
        <v>2148</v>
      </c>
      <c r="Q509">
        <v>40812</v>
      </c>
      <c r="R509">
        <v>4</v>
      </c>
      <c r="S509" s="15">
        <f t="shared" si="7"/>
        <v>46113</v>
      </c>
    </row>
    <row r="510" spans="1:19">
      <c r="A510" t="s">
        <v>586</v>
      </c>
      <c r="B510" s="2">
        <v>46122</v>
      </c>
      <c r="C510" t="s">
        <v>29</v>
      </c>
      <c r="D510" t="s">
        <v>61</v>
      </c>
      <c r="E510" t="s">
        <v>42</v>
      </c>
      <c r="F510" t="s">
        <v>53</v>
      </c>
      <c r="G510" t="s">
        <v>92</v>
      </c>
      <c r="H510" t="s">
        <v>24</v>
      </c>
      <c r="I510">
        <v>4</v>
      </c>
      <c r="J510">
        <v>15490</v>
      </c>
      <c r="K510">
        <v>0</v>
      </c>
      <c r="L510" t="s">
        <v>68</v>
      </c>
      <c r="M510" t="s">
        <v>44</v>
      </c>
      <c r="N510" t="s">
        <v>27</v>
      </c>
      <c r="O510">
        <v>61960</v>
      </c>
      <c r="P510">
        <v>0</v>
      </c>
      <c r="Q510">
        <v>61960</v>
      </c>
      <c r="R510">
        <v>5</v>
      </c>
      <c r="S510" s="15">
        <f t="shared" si="7"/>
        <v>46113</v>
      </c>
    </row>
    <row r="511" spans="1:19">
      <c r="A511" t="s">
        <v>587</v>
      </c>
      <c r="B511" s="2">
        <v>46123</v>
      </c>
      <c r="C511" t="s">
        <v>40</v>
      </c>
      <c r="D511" t="s">
        <v>89</v>
      </c>
      <c r="E511" t="s">
        <v>70</v>
      </c>
      <c r="F511" t="s">
        <v>53</v>
      </c>
      <c r="G511" t="s">
        <v>23</v>
      </c>
      <c r="H511" t="s">
        <v>24</v>
      </c>
      <c r="I511">
        <v>1</v>
      </c>
      <c r="J511">
        <v>26260</v>
      </c>
      <c r="K511">
        <v>0</v>
      </c>
      <c r="L511" t="s">
        <v>54</v>
      </c>
      <c r="M511" t="s">
        <v>38</v>
      </c>
      <c r="N511" t="s">
        <v>27</v>
      </c>
      <c r="O511">
        <v>26260</v>
      </c>
      <c r="P511">
        <v>0</v>
      </c>
      <c r="Q511">
        <v>26260</v>
      </c>
      <c r="R511">
        <v>1</v>
      </c>
      <c r="S511" s="15">
        <f t="shared" si="7"/>
        <v>46113</v>
      </c>
    </row>
    <row r="512" spans="1:19">
      <c r="A512" t="s">
        <v>588</v>
      </c>
      <c r="B512" s="2">
        <v>46123</v>
      </c>
      <c r="C512" t="s">
        <v>29</v>
      </c>
      <c r="D512" t="s">
        <v>61</v>
      </c>
      <c r="E512" t="s">
        <v>70</v>
      </c>
      <c r="F512" t="s">
        <v>22</v>
      </c>
      <c r="G512" t="s">
        <v>152</v>
      </c>
      <c r="H512" t="s">
        <v>74</v>
      </c>
      <c r="I512">
        <v>2</v>
      </c>
      <c r="J512">
        <v>14910</v>
      </c>
      <c r="K512">
        <v>0.05</v>
      </c>
      <c r="L512" t="s">
        <v>64</v>
      </c>
      <c r="M512" t="s">
        <v>35</v>
      </c>
      <c r="N512" t="s">
        <v>27</v>
      </c>
      <c r="O512">
        <v>29820</v>
      </c>
      <c r="P512">
        <v>1491</v>
      </c>
      <c r="Q512">
        <v>28329</v>
      </c>
      <c r="R512">
        <v>2</v>
      </c>
      <c r="S512" s="15">
        <f t="shared" si="7"/>
        <v>46113</v>
      </c>
    </row>
    <row r="513" spans="1:19">
      <c r="A513" t="s">
        <v>589</v>
      </c>
      <c r="B513" s="2">
        <v>46123</v>
      </c>
      <c r="C513" t="s">
        <v>40</v>
      </c>
      <c r="D513" t="s">
        <v>89</v>
      </c>
      <c r="E513" t="s">
        <v>70</v>
      </c>
      <c r="F513" t="s">
        <v>22</v>
      </c>
      <c r="G513" t="s">
        <v>23</v>
      </c>
      <c r="H513" t="s">
        <v>24</v>
      </c>
      <c r="I513">
        <v>2</v>
      </c>
      <c r="J513">
        <v>26100</v>
      </c>
      <c r="K513">
        <v>0.05</v>
      </c>
      <c r="L513" t="s">
        <v>25</v>
      </c>
      <c r="M513" t="s">
        <v>35</v>
      </c>
      <c r="N513" t="s">
        <v>27</v>
      </c>
      <c r="O513">
        <v>52200</v>
      </c>
      <c r="P513">
        <v>2610</v>
      </c>
      <c r="Q513">
        <v>49590</v>
      </c>
      <c r="R513">
        <v>5</v>
      </c>
      <c r="S513" s="15">
        <f t="shared" si="7"/>
        <v>46113</v>
      </c>
    </row>
    <row r="514" spans="1:19">
      <c r="A514" t="s">
        <v>590</v>
      </c>
      <c r="B514" s="2">
        <v>46124</v>
      </c>
      <c r="C514" t="s">
        <v>29</v>
      </c>
      <c r="D514" t="s">
        <v>30</v>
      </c>
      <c r="E514" t="s">
        <v>21</v>
      </c>
      <c r="F514" t="s">
        <v>31</v>
      </c>
      <c r="G514" t="s">
        <v>37</v>
      </c>
      <c r="H514" t="s">
        <v>24</v>
      </c>
      <c r="I514">
        <v>1</v>
      </c>
      <c r="J514">
        <v>58540</v>
      </c>
      <c r="K514">
        <v>0.05</v>
      </c>
      <c r="L514" t="s">
        <v>54</v>
      </c>
      <c r="M514" t="s">
        <v>35</v>
      </c>
      <c r="N514" t="s">
        <v>27</v>
      </c>
      <c r="O514">
        <v>58540</v>
      </c>
      <c r="P514">
        <v>2927</v>
      </c>
      <c r="Q514">
        <v>55613</v>
      </c>
      <c r="R514">
        <v>3</v>
      </c>
      <c r="S514" s="15">
        <f t="shared" ref="S514:S577" si="8">DATE(YEAR(B514),MONTH(B514),1)</f>
        <v>46113</v>
      </c>
    </row>
    <row r="515" spans="1:19">
      <c r="A515" t="s">
        <v>591</v>
      </c>
      <c r="B515" s="2">
        <v>46124</v>
      </c>
      <c r="C515" t="s">
        <v>40</v>
      </c>
      <c r="D515" t="s">
        <v>47</v>
      </c>
      <c r="E515" t="s">
        <v>42</v>
      </c>
      <c r="F515" t="s">
        <v>53</v>
      </c>
      <c r="G515" t="s">
        <v>149</v>
      </c>
      <c r="H515" t="s">
        <v>33</v>
      </c>
      <c r="I515">
        <v>3</v>
      </c>
      <c r="J515">
        <v>3670</v>
      </c>
      <c r="K515">
        <v>0.05</v>
      </c>
      <c r="L515" t="s">
        <v>64</v>
      </c>
      <c r="M515" t="s">
        <v>71</v>
      </c>
      <c r="N515" t="s">
        <v>27</v>
      </c>
      <c r="O515">
        <v>11010</v>
      </c>
      <c r="P515">
        <v>550.5</v>
      </c>
      <c r="Q515">
        <v>10459.5</v>
      </c>
      <c r="R515">
        <v>2</v>
      </c>
      <c r="S515" s="15">
        <f t="shared" si="8"/>
        <v>46113</v>
      </c>
    </row>
    <row r="516" spans="1:19">
      <c r="A516" t="s">
        <v>592</v>
      </c>
      <c r="B516" s="2">
        <v>46125</v>
      </c>
      <c r="C516" t="s">
        <v>19</v>
      </c>
      <c r="D516" t="s">
        <v>20</v>
      </c>
      <c r="E516" t="s">
        <v>21</v>
      </c>
      <c r="F516" t="s">
        <v>22</v>
      </c>
      <c r="G516" t="s">
        <v>95</v>
      </c>
      <c r="H516" t="s">
        <v>24</v>
      </c>
      <c r="I516">
        <v>1</v>
      </c>
      <c r="J516">
        <v>21550</v>
      </c>
      <c r="K516">
        <v>0.15</v>
      </c>
      <c r="L516" t="s">
        <v>34</v>
      </c>
      <c r="M516" t="s">
        <v>35</v>
      </c>
      <c r="N516" t="s">
        <v>27</v>
      </c>
      <c r="O516">
        <v>21550</v>
      </c>
      <c r="P516">
        <v>3232.5</v>
      </c>
      <c r="Q516">
        <v>18317.5</v>
      </c>
      <c r="R516">
        <v>4</v>
      </c>
      <c r="S516" s="15">
        <f t="shared" si="8"/>
        <v>46113</v>
      </c>
    </row>
    <row r="517" spans="1:19">
      <c r="A517" t="s">
        <v>593</v>
      </c>
      <c r="B517" s="2">
        <v>46125</v>
      </c>
      <c r="C517" t="s">
        <v>40</v>
      </c>
      <c r="D517" t="s">
        <v>41</v>
      </c>
      <c r="E517" t="s">
        <v>42</v>
      </c>
      <c r="F517" t="s">
        <v>22</v>
      </c>
      <c r="G517" t="s">
        <v>152</v>
      </c>
      <c r="H517" t="s">
        <v>74</v>
      </c>
      <c r="I517">
        <v>3</v>
      </c>
      <c r="J517">
        <v>15040</v>
      </c>
      <c r="K517">
        <v>0.05</v>
      </c>
      <c r="L517" t="s">
        <v>54</v>
      </c>
      <c r="M517" t="s">
        <v>35</v>
      </c>
      <c r="N517" t="s">
        <v>45</v>
      </c>
      <c r="O517">
        <v>0</v>
      </c>
      <c r="P517">
        <v>0</v>
      </c>
      <c r="Q517">
        <v>0</v>
      </c>
      <c r="S517" s="15">
        <f t="shared" si="8"/>
        <v>46113</v>
      </c>
    </row>
    <row r="518" spans="1:19">
      <c r="A518" t="s">
        <v>594</v>
      </c>
      <c r="B518" s="2">
        <v>46125</v>
      </c>
      <c r="C518" t="s">
        <v>82</v>
      </c>
      <c r="D518" t="s">
        <v>122</v>
      </c>
      <c r="E518" t="s">
        <v>21</v>
      </c>
      <c r="F518" t="s">
        <v>31</v>
      </c>
      <c r="G518" t="s">
        <v>62</v>
      </c>
      <c r="H518" t="s">
        <v>33</v>
      </c>
      <c r="I518">
        <v>2</v>
      </c>
      <c r="J518">
        <v>1910</v>
      </c>
      <c r="K518">
        <v>0.08</v>
      </c>
      <c r="L518" t="s">
        <v>64</v>
      </c>
      <c r="M518" t="s">
        <v>44</v>
      </c>
      <c r="N518" t="s">
        <v>27</v>
      </c>
      <c r="O518">
        <v>3820</v>
      </c>
      <c r="P518">
        <v>305.60000000000002</v>
      </c>
      <c r="Q518">
        <v>3514.4</v>
      </c>
      <c r="R518">
        <v>4</v>
      </c>
      <c r="S518" s="15">
        <f t="shared" si="8"/>
        <v>46113</v>
      </c>
    </row>
    <row r="519" spans="1:19">
      <c r="A519" t="s">
        <v>595</v>
      </c>
      <c r="B519" s="2">
        <v>46127</v>
      </c>
      <c r="C519" t="s">
        <v>82</v>
      </c>
      <c r="D519" t="s">
        <v>178</v>
      </c>
      <c r="E519" t="s">
        <v>21</v>
      </c>
      <c r="F519" t="s">
        <v>22</v>
      </c>
      <c r="G519" t="s">
        <v>101</v>
      </c>
      <c r="H519" t="s">
        <v>33</v>
      </c>
      <c r="I519">
        <v>1</v>
      </c>
      <c r="J519">
        <v>1910</v>
      </c>
      <c r="K519">
        <v>0.03</v>
      </c>
      <c r="L519" t="s">
        <v>54</v>
      </c>
      <c r="M519" t="s">
        <v>71</v>
      </c>
      <c r="N519" t="s">
        <v>27</v>
      </c>
      <c r="O519">
        <v>1910</v>
      </c>
      <c r="P519">
        <v>57.3</v>
      </c>
      <c r="Q519">
        <v>1852.7</v>
      </c>
      <c r="R519">
        <v>1</v>
      </c>
      <c r="S519" s="15">
        <f t="shared" si="8"/>
        <v>46113</v>
      </c>
    </row>
    <row r="520" spans="1:19">
      <c r="A520" t="s">
        <v>596</v>
      </c>
      <c r="B520" s="2">
        <v>46128</v>
      </c>
      <c r="C520" t="s">
        <v>19</v>
      </c>
      <c r="D520" t="s">
        <v>103</v>
      </c>
      <c r="E520" t="s">
        <v>42</v>
      </c>
      <c r="F520" t="s">
        <v>53</v>
      </c>
      <c r="G520" t="s">
        <v>62</v>
      </c>
      <c r="H520" t="s">
        <v>33</v>
      </c>
      <c r="I520">
        <v>1</v>
      </c>
      <c r="J520">
        <v>1900</v>
      </c>
      <c r="K520">
        <v>0.03</v>
      </c>
      <c r="L520" t="s">
        <v>64</v>
      </c>
      <c r="M520" t="s">
        <v>71</v>
      </c>
      <c r="N520" t="s">
        <v>27</v>
      </c>
      <c r="O520">
        <v>1900</v>
      </c>
      <c r="P520">
        <v>57</v>
      </c>
      <c r="Q520">
        <v>1843</v>
      </c>
      <c r="R520">
        <v>1</v>
      </c>
      <c r="S520" s="15">
        <f t="shared" si="8"/>
        <v>46113</v>
      </c>
    </row>
    <row r="521" spans="1:19">
      <c r="A521" t="s">
        <v>597</v>
      </c>
      <c r="B521" s="2">
        <v>46129</v>
      </c>
      <c r="C521" t="s">
        <v>29</v>
      </c>
      <c r="D521" t="s">
        <v>61</v>
      </c>
      <c r="E521" t="s">
        <v>42</v>
      </c>
      <c r="F521" t="s">
        <v>22</v>
      </c>
      <c r="G521" t="s">
        <v>101</v>
      </c>
      <c r="H521" t="s">
        <v>33</v>
      </c>
      <c r="I521">
        <v>2</v>
      </c>
      <c r="J521">
        <v>1700</v>
      </c>
      <c r="K521">
        <v>0.03</v>
      </c>
      <c r="L521" t="s">
        <v>64</v>
      </c>
      <c r="M521" t="s">
        <v>44</v>
      </c>
      <c r="N521" t="s">
        <v>27</v>
      </c>
      <c r="O521">
        <v>3400</v>
      </c>
      <c r="P521">
        <v>102</v>
      </c>
      <c r="Q521">
        <v>3298</v>
      </c>
      <c r="R521">
        <v>3</v>
      </c>
      <c r="S521" s="15">
        <f t="shared" si="8"/>
        <v>46113</v>
      </c>
    </row>
    <row r="522" spans="1:19">
      <c r="A522" t="s">
        <v>598</v>
      </c>
      <c r="B522" s="2">
        <v>46130</v>
      </c>
      <c r="C522" t="s">
        <v>40</v>
      </c>
      <c r="D522" t="s">
        <v>115</v>
      </c>
      <c r="E522" t="s">
        <v>42</v>
      </c>
      <c r="F522" t="s">
        <v>53</v>
      </c>
      <c r="G522" t="s">
        <v>37</v>
      </c>
      <c r="H522" t="s">
        <v>24</v>
      </c>
      <c r="I522">
        <v>2</v>
      </c>
      <c r="J522">
        <v>64230</v>
      </c>
      <c r="K522">
        <v>0.05</v>
      </c>
      <c r="L522" t="s">
        <v>34</v>
      </c>
      <c r="M522" t="s">
        <v>66</v>
      </c>
      <c r="N522" t="s">
        <v>27</v>
      </c>
      <c r="O522">
        <v>128460</v>
      </c>
      <c r="P522">
        <v>6423</v>
      </c>
      <c r="Q522">
        <v>122037</v>
      </c>
      <c r="R522">
        <v>1</v>
      </c>
      <c r="S522" s="15">
        <f t="shared" si="8"/>
        <v>46113</v>
      </c>
    </row>
    <row r="523" spans="1:19">
      <c r="A523" t="s">
        <v>599</v>
      </c>
      <c r="B523" s="2">
        <v>46131</v>
      </c>
      <c r="C523" t="s">
        <v>40</v>
      </c>
      <c r="D523" t="s">
        <v>89</v>
      </c>
      <c r="E523" t="s">
        <v>21</v>
      </c>
      <c r="F523" t="s">
        <v>22</v>
      </c>
      <c r="G523" t="s">
        <v>62</v>
      </c>
      <c r="H523" t="s">
        <v>33</v>
      </c>
      <c r="I523">
        <v>4</v>
      </c>
      <c r="J523">
        <v>1690</v>
      </c>
      <c r="K523">
        <v>0</v>
      </c>
      <c r="L523" t="s">
        <v>34</v>
      </c>
      <c r="M523" t="s">
        <v>66</v>
      </c>
      <c r="N523" t="s">
        <v>27</v>
      </c>
      <c r="O523">
        <v>6760</v>
      </c>
      <c r="P523">
        <v>0</v>
      </c>
      <c r="Q523">
        <v>6760</v>
      </c>
      <c r="R523">
        <v>5</v>
      </c>
      <c r="S523" s="15">
        <f t="shared" si="8"/>
        <v>46113</v>
      </c>
    </row>
    <row r="524" spans="1:19">
      <c r="A524" t="s">
        <v>600</v>
      </c>
      <c r="B524" s="2">
        <v>46131</v>
      </c>
      <c r="C524" t="s">
        <v>82</v>
      </c>
      <c r="D524" t="s">
        <v>178</v>
      </c>
      <c r="E524" t="s">
        <v>42</v>
      </c>
      <c r="F524" t="s">
        <v>22</v>
      </c>
      <c r="G524" t="s">
        <v>105</v>
      </c>
      <c r="H524" t="s">
        <v>24</v>
      </c>
      <c r="I524">
        <v>2</v>
      </c>
      <c r="J524">
        <v>3030</v>
      </c>
      <c r="K524">
        <v>0.08</v>
      </c>
      <c r="L524" t="s">
        <v>68</v>
      </c>
      <c r="M524" t="s">
        <v>35</v>
      </c>
      <c r="N524" t="s">
        <v>27</v>
      </c>
      <c r="O524">
        <v>6060</v>
      </c>
      <c r="P524">
        <v>484.8</v>
      </c>
      <c r="Q524">
        <v>5575.2</v>
      </c>
      <c r="R524">
        <v>7</v>
      </c>
      <c r="S524" s="15">
        <f t="shared" si="8"/>
        <v>46113</v>
      </c>
    </row>
    <row r="525" spans="1:19">
      <c r="A525" t="s">
        <v>601</v>
      </c>
      <c r="B525" s="2">
        <v>46131</v>
      </c>
      <c r="C525" t="s">
        <v>19</v>
      </c>
      <c r="D525" t="s">
        <v>57</v>
      </c>
      <c r="E525" t="s">
        <v>42</v>
      </c>
      <c r="F525" t="s">
        <v>22</v>
      </c>
      <c r="G525" t="s">
        <v>92</v>
      </c>
      <c r="H525" t="s">
        <v>24</v>
      </c>
      <c r="I525">
        <v>3</v>
      </c>
      <c r="J525">
        <v>17540</v>
      </c>
      <c r="K525">
        <v>0.08</v>
      </c>
      <c r="L525" t="s">
        <v>64</v>
      </c>
      <c r="M525" t="s">
        <v>50</v>
      </c>
      <c r="N525" t="s">
        <v>27</v>
      </c>
      <c r="O525">
        <v>52620</v>
      </c>
      <c r="P525">
        <v>4209.6000000000004</v>
      </c>
      <c r="Q525">
        <v>48410.400000000001</v>
      </c>
      <c r="R525">
        <v>3</v>
      </c>
      <c r="S525" s="15">
        <f t="shared" si="8"/>
        <v>46113</v>
      </c>
    </row>
    <row r="526" spans="1:19">
      <c r="A526" t="s">
        <v>602</v>
      </c>
      <c r="B526" s="2">
        <v>46133</v>
      </c>
      <c r="C526" t="s">
        <v>40</v>
      </c>
      <c r="D526" t="s">
        <v>47</v>
      </c>
      <c r="E526" t="s">
        <v>21</v>
      </c>
      <c r="F526" t="s">
        <v>22</v>
      </c>
      <c r="G526" t="s">
        <v>73</v>
      </c>
      <c r="H526" t="s">
        <v>74</v>
      </c>
      <c r="I526">
        <v>4</v>
      </c>
      <c r="J526">
        <v>10990</v>
      </c>
      <c r="K526">
        <v>0.1</v>
      </c>
      <c r="L526" t="s">
        <v>34</v>
      </c>
      <c r="M526" t="s">
        <v>71</v>
      </c>
      <c r="N526" t="s">
        <v>27</v>
      </c>
      <c r="O526">
        <v>43960</v>
      </c>
      <c r="P526">
        <v>4396</v>
      </c>
      <c r="Q526">
        <v>39564</v>
      </c>
      <c r="R526">
        <v>2</v>
      </c>
      <c r="S526" s="15">
        <f t="shared" si="8"/>
        <v>46113</v>
      </c>
    </row>
    <row r="527" spans="1:19">
      <c r="A527" t="s">
        <v>603</v>
      </c>
      <c r="B527" s="2">
        <v>46133</v>
      </c>
      <c r="C527" t="s">
        <v>40</v>
      </c>
      <c r="D527" t="s">
        <v>115</v>
      </c>
      <c r="E527" t="s">
        <v>70</v>
      </c>
      <c r="F527" t="s">
        <v>22</v>
      </c>
      <c r="G527" t="s">
        <v>149</v>
      </c>
      <c r="H527" t="s">
        <v>33</v>
      </c>
      <c r="I527">
        <v>1</v>
      </c>
      <c r="J527">
        <v>3600</v>
      </c>
      <c r="K527">
        <v>0.1</v>
      </c>
      <c r="L527" t="s">
        <v>64</v>
      </c>
      <c r="M527" t="s">
        <v>66</v>
      </c>
      <c r="N527" t="s">
        <v>27</v>
      </c>
      <c r="O527">
        <v>3600</v>
      </c>
      <c r="P527">
        <v>360</v>
      </c>
      <c r="Q527">
        <v>3240</v>
      </c>
      <c r="R527">
        <v>5</v>
      </c>
      <c r="S527" s="15">
        <f t="shared" si="8"/>
        <v>46113</v>
      </c>
    </row>
    <row r="528" spans="1:19">
      <c r="A528" t="s">
        <v>604</v>
      </c>
      <c r="B528" s="2">
        <v>46134</v>
      </c>
      <c r="C528" t="s">
        <v>40</v>
      </c>
      <c r="D528" t="s">
        <v>89</v>
      </c>
      <c r="E528" t="s">
        <v>42</v>
      </c>
      <c r="F528" t="s">
        <v>31</v>
      </c>
      <c r="G528" t="s">
        <v>43</v>
      </c>
      <c r="H528" t="s">
        <v>33</v>
      </c>
      <c r="I528">
        <v>1</v>
      </c>
      <c r="J528">
        <v>900</v>
      </c>
      <c r="K528">
        <v>0.05</v>
      </c>
      <c r="L528" t="s">
        <v>64</v>
      </c>
      <c r="M528" t="s">
        <v>38</v>
      </c>
      <c r="N528" t="s">
        <v>27</v>
      </c>
      <c r="O528">
        <v>900</v>
      </c>
      <c r="P528">
        <v>45</v>
      </c>
      <c r="Q528">
        <v>855</v>
      </c>
      <c r="R528">
        <v>3</v>
      </c>
      <c r="S528" s="15">
        <f t="shared" si="8"/>
        <v>46113</v>
      </c>
    </row>
    <row r="529" spans="1:19">
      <c r="A529" t="s">
        <v>605</v>
      </c>
      <c r="B529" s="2">
        <v>46134</v>
      </c>
      <c r="C529" t="s">
        <v>82</v>
      </c>
      <c r="D529" t="s">
        <v>178</v>
      </c>
      <c r="E529" t="s">
        <v>42</v>
      </c>
      <c r="F529" t="s">
        <v>31</v>
      </c>
      <c r="G529" t="s">
        <v>105</v>
      </c>
      <c r="H529" t="s">
        <v>24</v>
      </c>
      <c r="I529">
        <v>3</v>
      </c>
      <c r="J529">
        <v>3380</v>
      </c>
      <c r="K529">
        <v>0.1</v>
      </c>
      <c r="L529" t="s">
        <v>25</v>
      </c>
      <c r="M529" t="s">
        <v>26</v>
      </c>
      <c r="N529" t="s">
        <v>27</v>
      </c>
      <c r="O529">
        <v>10140</v>
      </c>
      <c r="P529">
        <v>1014</v>
      </c>
      <c r="Q529">
        <v>9126</v>
      </c>
      <c r="R529">
        <v>4</v>
      </c>
      <c r="S529" s="15">
        <f t="shared" si="8"/>
        <v>46113</v>
      </c>
    </row>
    <row r="530" spans="1:19">
      <c r="A530" t="s">
        <v>606</v>
      </c>
      <c r="B530" s="2">
        <v>46135</v>
      </c>
      <c r="C530" t="s">
        <v>40</v>
      </c>
      <c r="D530" t="s">
        <v>115</v>
      </c>
      <c r="E530" t="s">
        <v>70</v>
      </c>
      <c r="F530" t="s">
        <v>22</v>
      </c>
      <c r="G530" t="s">
        <v>37</v>
      </c>
      <c r="H530" t="s">
        <v>24</v>
      </c>
      <c r="I530">
        <v>1</v>
      </c>
      <c r="J530">
        <v>59620</v>
      </c>
      <c r="K530">
        <v>0</v>
      </c>
      <c r="L530" t="s">
        <v>64</v>
      </c>
      <c r="M530" t="s">
        <v>71</v>
      </c>
      <c r="N530" t="s">
        <v>27</v>
      </c>
      <c r="O530">
        <v>59620</v>
      </c>
      <c r="P530">
        <v>0</v>
      </c>
      <c r="Q530">
        <v>59620</v>
      </c>
      <c r="R530">
        <v>2</v>
      </c>
      <c r="S530" s="15">
        <f t="shared" si="8"/>
        <v>46113</v>
      </c>
    </row>
    <row r="531" spans="1:19">
      <c r="A531" t="s">
        <v>607</v>
      </c>
      <c r="B531" s="2">
        <v>46135</v>
      </c>
      <c r="C531" t="s">
        <v>29</v>
      </c>
      <c r="D531" t="s">
        <v>61</v>
      </c>
      <c r="E531" t="s">
        <v>70</v>
      </c>
      <c r="F531" t="s">
        <v>53</v>
      </c>
      <c r="G531" t="s">
        <v>43</v>
      </c>
      <c r="H531" t="s">
        <v>33</v>
      </c>
      <c r="I531">
        <v>1</v>
      </c>
      <c r="J531">
        <v>960</v>
      </c>
      <c r="K531">
        <v>0.08</v>
      </c>
      <c r="L531" t="s">
        <v>54</v>
      </c>
      <c r="M531" t="s">
        <v>38</v>
      </c>
      <c r="N531" t="s">
        <v>27</v>
      </c>
      <c r="O531">
        <v>960</v>
      </c>
      <c r="P531">
        <v>76.8</v>
      </c>
      <c r="Q531">
        <v>883.2</v>
      </c>
      <c r="R531">
        <v>4</v>
      </c>
      <c r="S531" s="15">
        <f t="shared" si="8"/>
        <v>46113</v>
      </c>
    </row>
    <row r="532" spans="1:19">
      <c r="A532" t="s">
        <v>608</v>
      </c>
      <c r="B532" s="2">
        <v>46135</v>
      </c>
      <c r="C532" t="s">
        <v>40</v>
      </c>
      <c r="D532" t="s">
        <v>115</v>
      </c>
      <c r="E532" t="s">
        <v>21</v>
      </c>
      <c r="F532" t="s">
        <v>53</v>
      </c>
      <c r="G532" t="s">
        <v>152</v>
      </c>
      <c r="H532" t="s">
        <v>74</v>
      </c>
      <c r="I532">
        <v>2</v>
      </c>
      <c r="J532">
        <v>15450</v>
      </c>
      <c r="K532">
        <v>0.1</v>
      </c>
      <c r="L532" t="s">
        <v>34</v>
      </c>
      <c r="M532" t="s">
        <v>38</v>
      </c>
      <c r="N532" t="s">
        <v>27</v>
      </c>
      <c r="O532">
        <v>30900</v>
      </c>
      <c r="P532">
        <v>3090</v>
      </c>
      <c r="Q532">
        <v>27810</v>
      </c>
      <c r="R532">
        <v>2</v>
      </c>
      <c r="S532" s="15">
        <f t="shared" si="8"/>
        <v>46113</v>
      </c>
    </row>
    <row r="533" spans="1:19">
      <c r="A533" t="s">
        <v>609</v>
      </c>
      <c r="B533" s="2">
        <v>46135</v>
      </c>
      <c r="C533" t="s">
        <v>19</v>
      </c>
      <c r="D533" t="s">
        <v>52</v>
      </c>
      <c r="E533" t="s">
        <v>42</v>
      </c>
      <c r="F533" t="s">
        <v>31</v>
      </c>
      <c r="G533" t="s">
        <v>58</v>
      </c>
      <c r="H533" t="s">
        <v>59</v>
      </c>
      <c r="I533">
        <v>3</v>
      </c>
      <c r="J533">
        <v>6860</v>
      </c>
      <c r="K533">
        <v>0.1</v>
      </c>
      <c r="L533" t="s">
        <v>54</v>
      </c>
      <c r="M533" t="s">
        <v>35</v>
      </c>
      <c r="N533" t="s">
        <v>27</v>
      </c>
      <c r="O533">
        <v>20580</v>
      </c>
      <c r="P533">
        <v>2058</v>
      </c>
      <c r="Q533">
        <v>18522</v>
      </c>
      <c r="R533">
        <v>3</v>
      </c>
      <c r="S533" s="15">
        <f t="shared" si="8"/>
        <v>46113</v>
      </c>
    </row>
    <row r="534" spans="1:19">
      <c r="A534" t="s">
        <v>610</v>
      </c>
      <c r="B534" s="2">
        <v>46136</v>
      </c>
      <c r="C534" t="s">
        <v>40</v>
      </c>
      <c r="D534" t="s">
        <v>47</v>
      </c>
      <c r="E534" t="s">
        <v>42</v>
      </c>
      <c r="F534" t="s">
        <v>22</v>
      </c>
      <c r="G534" t="s">
        <v>92</v>
      </c>
      <c r="H534" t="s">
        <v>24</v>
      </c>
      <c r="I534">
        <v>3</v>
      </c>
      <c r="J534">
        <v>16090</v>
      </c>
      <c r="K534">
        <v>0.03</v>
      </c>
      <c r="L534" t="s">
        <v>68</v>
      </c>
      <c r="M534" t="s">
        <v>50</v>
      </c>
      <c r="N534" t="s">
        <v>27</v>
      </c>
      <c r="O534">
        <v>48270</v>
      </c>
      <c r="P534">
        <v>1448.1</v>
      </c>
      <c r="Q534">
        <v>46821.9</v>
      </c>
      <c r="R534">
        <v>3</v>
      </c>
      <c r="S534" s="15">
        <f t="shared" si="8"/>
        <v>46113</v>
      </c>
    </row>
    <row r="535" spans="1:19">
      <c r="A535" t="s">
        <v>611</v>
      </c>
      <c r="B535" s="2">
        <v>46137</v>
      </c>
      <c r="C535" t="s">
        <v>40</v>
      </c>
      <c r="D535" t="s">
        <v>47</v>
      </c>
      <c r="E535" t="s">
        <v>42</v>
      </c>
      <c r="F535" t="s">
        <v>22</v>
      </c>
      <c r="G535" t="s">
        <v>92</v>
      </c>
      <c r="H535" t="s">
        <v>24</v>
      </c>
      <c r="I535">
        <v>1</v>
      </c>
      <c r="J535">
        <v>17400</v>
      </c>
      <c r="K535">
        <v>0</v>
      </c>
      <c r="L535" t="s">
        <v>34</v>
      </c>
      <c r="M535" t="s">
        <v>71</v>
      </c>
      <c r="N535" t="s">
        <v>27</v>
      </c>
      <c r="O535">
        <v>17400</v>
      </c>
      <c r="P535">
        <v>0</v>
      </c>
      <c r="Q535">
        <v>17400</v>
      </c>
      <c r="R535">
        <v>1</v>
      </c>
      <c r="S535" s="15">
        <f t="shared" si="8"/>
        <v>46113</v>
      </c>
    </row>
    <row r="536" spans="1:19">
      <c r="A536" t="s">
        <v>612</v>
      </c>
      <c r="B536" s="2">
        <v>46137</v>
      </c>
      <c r="C536" t="s">
        <v>29</v>
      </c>
      <c r="D536" t="s">
        <v>30</v>
      </c>
      <c r="E536" t="s">
        <v>42</v>
      </c>
      <c r="F536" t="s">
        <v>22</v>
      </c>
      <c r="G536" t="s">
        <v>73</v>
      </c>
      <c r="H536" t="s">
        <v>74</v>
      </c>
      <c r="I536">
        <v>4</v>
      </c>
      <c r="J536">
        <v>11210</v>
      </c>
      <c r="K536">
        <v>0.08</v>
      </c>
      <c r="L536" t="s">
        <v>64</v>
      </c>
      <c r="M536" t="s">
        <v>55</v>
      </c>
      <c r="N536" t="s">
        <v>27</v>
      </c>
      <c r="O536">
        <v>44840</v>
      </c>
      <c r="P536">
        <v>3587.2</v>
      </c>
      <c r="Q536">
        <v>41252.800000000003</v>
      </c>
      <c r="R536">
        <v>4</v>
      </c>
      <c r="S536" s="15">
        <f t="shared" si="8"/>
        <v>46113</v>
      </c>
    </row>
    <row r="537" spans="1:19">
      <c r="A537" t="s">
        <v>613</v>
      </c>
      <c r="B537" s="2">
        <v>46138</v>
      </c>
      <c r="C537" t="s">
        <v>40</v>
      </c>
      <c r="D537" t="s">
        <v>89</v>
      </c>
      <c r="E537" t="s">
        <v>21</v>
      </c>
      <c r="F537" t="s">
        <v>31</v>
      </c>
      <c r="G537" t="s">
        <v>101</v>
      </c>
      <c r="H537" t="s">
        <v>33</v>
      </c>
      <c r="I537">
        <v>1</v>
      </c>
      <c r="J537">
        <v>1900</v>
      </c>
      <c r="K537">
        <v>0</v>
      </c>
      <c r="L537" t="s">
        <v>64</v>
      </c>
      <c r="M537" t="s">
        <v>66</v>
      </c>
      <c r="N537" t="s">
        <v>27</v>
      </c>
      <c r="O537">
        <v>1900</v>
      </c>
      <c r="P537">
        <v>0</v>
      </c>
      <c r="Q537">
        <v>1900</v>
      </c>
      <c r="R537">
        <v>6</v>
      </c>
      <c r="S537" s="15">
        <f t="shared" si="8"/>
        <v>46113</v>
      </c>
    </row>
    <row r="538" spans="1:19">
      <c r="A538" t="s">
        <v>614</v>
      </c>
      <c r="B538" s="2">
        <v>46139</v>
      </c>
      <c r="C538" t="s">
        <v>19</v>
      </c>
      <c r="D538" t="s">
        <v>20</v>
      </c>
      <c r="E538" t="s">
        <v>21</v>
      </c>
      <c r="F538" t="s">
        <v>22</v>
      </c>
      <c r="G538" t="s">
        <v>92</v>
      </c>
      <c r="H538" t="s">
        <v>24</v>
      </c>
      <c r="I538">
        <v>1</v>
      </c>
      <c r="J538">
        <v>15910</v>
      </c>
      <c r="K538">
        <v>0.05</v>
      </c>
      <c r="L538" t="s">
        <v>54</v>
      </c>
      <c r="M538" t="s">
        <v>71</v>
      </c>
      <c r="N538" t="s">
        <v>27</v>
      </c>
      <c r="O538">
        <v>15910</v>
      </c>
      <c r="P538">
        <v>795.5</v>
      </c>
      <c r="Q538">
        <v>15114.5</v>
      </c>
      <c r="R538">
        <v>4</v>
      </c>
      <c r="S538" s="15">
        <f t="shared" si="8"/>
        <v>46113</v>
      </c>
    </row>
    <row r="539" spans="1:19">
      <c r="A539" t="s">
        <v>615</v>
      </c>
      <c r="B539" s="2">
        <v>46139</v>
      </c>
      <c r="C539" t="s">
        <v>40</v>
      </c>
      <c r="D539" t="s">
        <v>47</v>
      </c>
      <c r="E539" t="s">
        <v>42</v>
      </c>
      <c r="F539" t="s">
        <v>22</v>
      </c>
      <c r="G539" t="s">
        <v>95</v>
      </c>
      <c r="H539" t="s">
        <v>24</v>
      </c>
      <c r="I539">
        <v>2</v>
      </c>
      <c r="J539">
        <v>22690</v>
      </c>
      <c r="K539">
        <v>0.03</v>
      </c>
      <c r="L539" t="s">
        <v>68</v>
      </c>
      <c r="M539" t="s">
        <v>50</v>
      </c>
      <c r="N539" t="s">
        <v>27</v>
      </c>
      <c r="O539">
        <v>45380</v>
      </c>
      <c r="P539">
        <v>1361.4</v>
      </c>
      <c r="Q539">
        <v>44018.6</v>
      </c>
      <c r="R539">
        <v>3</v>
      </c>
      <c r="S539" s="15">
        <f t="shared" si="8"/>
        <v>46113</v>
      </c>
    </row>
    <row r="540" spans="1:19">
      <c r="A540" t="s">
        <v>616</v>
      </c>
      <c r="B540" s="2">
        <v>46139</v>
      </c>
      <c r="C540" t="s">
        <v>19</v>
      </c>
      <c r="D540" t="s">
        <v>52</v>
      </c>
      <c r="E540" t="s">
        <v>70</v>
      </c>
      <c r="F540" t="s">
        <v>31</v>
      </c>
      <c r="G540" t="s">
        <v>105</v>
      </c>
      <c r="H540" t="s">
        <v>24</v>
      </c>
      <c r="I540">
        <v>2</v>
      </c>
      <c r="J540">
        <v>3100</v>
      </c>
      <c r="K540">
        <v>0</v>
      </c>
      <c r="L540" t="s">
        <v>34</v>
      </c>
      <c r="M540" t="s">
        <v>44</v>
      </c>
      <c r="N540" t="s">
        <v>27</v>
      </c>
      <c r="O540">
        <v>6200</v>
      </c>
      <c r="P540">
        <v>0</v>
      </c>
      <c r="Q540">
        <v>6200</v>
      </c>
      <c r="R540">
        <v>2</v>
      </c>
      <c r="S540" s="15">
        <f t="shared" si="8"/>
        <v>46113</v>
      </c>
    </row>
    <row r="541" spans="1:19">
      <c r="A541" t="s">
        <v>617</v>
      </c>
      <c r="B541" s="2">
        <v>46140</v>
      </c>
      <c r="C541" t="s">
        <v>40</v>
      </c>
      <c r="D541" t="s">
        <v>47</v>
      </c>
      <c r="E541" t="s">
        <v>70</v>
      </c>
      <c r="F541" t="s">
        <v>22</v>
      </c>
      <c r="G541" t="s">
        <v>23</v>
      </c>
      <c r="H541" t="s">
        <v>24</v>
      </c>
      <c r="I541">
        <v>2</v>
      </c>
      <c r="J541">
        <v>26190</v>
      </c>
      <c r="K541">
        <v>0.08</v>
      </c>
      <c r="L541" t="s">
        <v>25</v>
      </c>
      <c r="M541" t="s">
        <v>44</v>
      </c>
      <c r="N541" t="s">
        <v>27</v>
      </c>
      <c r="O541">
        <v>52380</v>
      </c>
      <c r="P541">
        <v>4190.3999999999996</v>
      </c>
      <c r="Q541">
        <v>48189.599999999999</v>
      </c>
      <c r="R541">
        <v>4</v>
      </c>
      <c r="S541" s="15">
        <f t="shared" si="8"/>
        <v>46113</v>
      </c>
    </row>
    <row r="542" spans="1:19">
      <c r="A542" t="s">
        <v>618</v>
      </c>
      <c r="B542" s="2">
        <v>46140</v>
      </c>
      <c r="C542" t="s">
        <v>40</v>
      </c>
      <c r="D542" t="s">
        <v>89</v>
      </c>
      <c r="E542" t="s">
        <v>21</v>
      </c>
      <c r="F542" t="s">
        <v>22</v>
      </c>
      <c r="G542" t="s">
        <v>58</v>
      </c>
      <c r="H542" t="s">
        <v>59</v>
      </c>
      <c r="I542">
        <v>3</v>
      </c>
      <c r="J542">
        <v>6780</v>
      </c>
      <c r="K542">
        <v>0.05</v>
      </c>
      <c r="L542" t="s">
        <v>54</v>
      </c>
      <c r="M542" t="s">
        <v>71</v>
      </c>
      <c r="N542" t="s">
        <v>27</v>
      </c>
      <c r="O542">
        <v>20340</v>
      </c>
      <c r="P542">
        <v>1017</v>
      </c>
      <c r="Q542">
        <v>19323</v>
      </c>
      <c r="R542">
        <v>2</v>
      </c>
      <c r="S542" s="15">
        <f t="shared" si="8"/>
        <v>46113</v>
      </c>
    </row>
    <row r="543" spans="1:19">
      <c r="A543" t="s">
        <v>619</v>
      </c>
      <c r="B543" s="2">
        <v>46141</v>
      </c>
      <c r="C543" t="s">
        <v>40</v>
      </c>
      <c r="D543" t="s">
        <v>41</v>
      </c>
      <c r="E543" t="s">
        <v>42</v>
      </c>
      <c r="F543" t="s">
        <v>53</v>
      </c>
      <c r="G543" t="s">
        <v>92</v>
      </c>
      <c r="H543" t="s">
        <v>24</v>
      </c>
      <c r="I543">
        <v>2</v>
      </c>
      <c r="J543">
        <v>17070</v>
      </c>
      <c r="K543">
        <v>0</v>
      </c>
      <c r="L543" t="s">
        <v>68</v>
      </c>
      <c r="M543" t="s">
        <v>55</v>
      </c>
      <c r="N543" t="s">
        <v>27</v>
      </c>
      <c r="O543">
        <v>34140</v>
      </c>
      <c r="P543">
        <v>0</v>
      </c>
      <c r="Q543">
        <v>34140</v>
      </c>
      <c r="R543">
        <v>3</v>
      </c>
      <c r="S543" s="15">
        <f t="shared" si="8"/>
        <v>46113</v>
      </c>
    </row>
    <row r="544" spans="1:19">
      <c r="A544" t="s">
        <v>620</v>
      </c>
      <c r="B544" s="2">
        <v>46142</v>
      </c>
      <c r="C544" t="s">
        <v>19</v>
      </c>
      <c r="D544" t="s">
        <v>52</v>
      </c>
      <c r="E544" t="s">
        <v>21</v>
      </c>
      <c r="F544" t="s">
        <v>22</v>
      </c>
      <c r="G544" t="s">
        <v>43</v>
      </c>
      <c r="H544" t="s">
        <v>33</v>
      </c>
      <c r="I544">
        <v>2</v>
      </c>
      <c r="J544">
        <v>960</v>
      </c>
      <c r="K544">
        <v>0</v>
      </c>
      <c r="L544" t="s">
        <v>34</v>
      </c>
      <c r="M544" t="s">
        <v>38</v>
      </c>
      <c r="N544" t="s">
        <v>27</v>
      </c>
      <c r="O544">
        <v>1920</v>
      </c>
      <c r="P544">
        <v>0</v>
      </c>
      <c r="Q544">
        <v>1920</v>
      </c>
      <c r="R544">
        <v>3</v>
      </c>
      <c r="S544" s="15">
        <f t="shared" si="8"/>
        <v>46113</v>
      </c>
    </row>
    <row r="545" spans="1:19">
      <c r="A545" t="s">
        <v>621</v>
      </c>
      <c r="B545" s="2">
        <v>46143</v>
      </c>
      <c r="C545" t="s">
        <v>29</v>
      </c>
      <c r="D545" t="s">
        <v>78</v>
      </c>
      <c r="E545" t="s">
        <v>70</v>
      </c>
      <c r="F545" t="s">
        <v>31</v>
      </c>
      <c r="G545" t="s">
        <v>152</v>
      </c>
      <c r="H545" t="s">
        <v>74</v>
      </c>
      <c r="I545">
        <v>1</v>
      </c>
      <c r="J545">
        <v>15390</v>
      </c>
      <c r="K545">
        <v>0.08</v>
      </c>
      <c r="L545" t="s">
        <v>64</v>
      </c>
      <c r="M545" t="s">
        <v>38</v>
      </c>
      <c r="N545" t="s">
        <v>27</v>
      </c>
      <c r="O545">
        <v>15390</v>
      </c>
      <c r="P545">
        <v>1231.2</v>
      </c>
      <c r="Q545">
        <v>14158.8</v>
      </c>
      <c r="R545">
        <v>3</v>
      </c>
      <c r="S545" s="15">
        <f t="shared" si="8"/>
        <v>46143</v>
      </c>
    </row>
    <row r="546" spans="1:19">
      <c r="A546" t="s">
        <v>622</v>
      </c>
      <c r="B546" s="2">
        <v>46144</v>
      </c>
      <c r="C546" t="s">
        <v>40</v>
      </c>
      <c r="D546" t="s">
        <v>47</v>
      </c>
      <c r="E546" t="s">
        <v>42</v>
      </c>
      <c r="F546" t="s">
        <v>31</v>
      </c>
      <c r="G546" t="s">
        <v>101</v>
      </c>
      <c r="H546" t="s">
        <v>33</v>
      </c>
      <c r="I546">
        <v>1</v>
      </c>
      <c r="J546">
        <v>1680</v>
      </c>
      <c r="K546">
        <v>0</v>
      </c>
      <c r="L546" t="s">
        <v>68</v>
      </c>
      <c r="M546" t="s">
        <v>44</v>
      </c>
      <c r="N546" t="s">
        <v>27</v>
      </c>
      <c r="O546">
        <v>1680</v>
      </c>
      <c r="P546">
        <v>0</v>
      </c>
      <c r="Q546">
        <v>1680</v>
      </c>
      <c r="R546">
        <v>2</v>
      </c>
      <c r="S546" s="15">
        <f t="shared" si="8"/>
        <v>46143</v>
      </c>
    </row>
    <row r="547" spans="1:19">
      <c r="A547" t="s">
        <v>623</v>
      </c>
      <c r="B547" s="2">
        <v>46144</v>
      </c>
      <c r="C547" t="s">
        <v>40</v>
      </c>
      <c r="D547" t="s">
        <v>47</v>
      </c>
      <c r="E547" t="s">
        <v>21</v>
      </c>
      <c r="F547" t="s">
        <v>22</v>
      </c>
      <c r="G547" t="s">
        <v>58</v>
      </c>
      <c r="H547" t="s">
        <v>59</v>
      </c>
      <c r="I547">
        <v>1</v>
      </c>
      <c r="J547">
        <v>7400</v>
      </c>
      <c r="K547">
        <v>0</v>
      </c>
      <c r="L547" t="s">
        <v>68</v>
      </c>
      <c r="M547" t="s">
        <v>71</v>
      </c>
      <c r="N547" t="s">
        <v>27</v>
      </c>
      <c r="O547">
        <v>7400</v>
      </c>
      <c r="P547">
        <v>0</v>
      </c>
      <c r="Q547">
        <v>7400</v>
      </c>
      <c r="R547">
        <v>1</v>
      </c>
      <c r="S547" s="15">
        <f t="shared" si="8"/>
        <v>46143</v>
      </c>
    </row>
    <row r="548" spans="1:19">
      <c r="A548" t="s">
        <v>624</v>
      </c>
      <c r="B548" s="2">
        <v>46145</v>
      </c>
      <c r="C548" t="s">
        <v>40</v>
      </c>
      <c r="D548" t="s">
        <v>115</v>
      </c>
      <c r="E548" t="s">
        <v>21</v>
      </c>
      <c r="F548" t="s">
        <v>31</v>
      </c>
      <c r="G548" t="s">
        <v>43</v>
      </c>
      <c r="H548" t="s">
        <v>33</v>
      </c>
      <c r="I548">
        <v>2</v>
      </c>
      <c r="J548">
        <v>1010</v>
      </c>
      <c r="K548">
        <v>0.05</v>
      </c>
      <c r="L548" t="s">
        <v>64</v>
      </c>
      <c r="M548" t="s">
        <v>66</v>
      </c>
      <c r="N548" t="s">
        <v>27</v>
      </c>
      <c r="O548">
        <v>2020</v>
      </c>
      <c r="P548">
        <v>101</v>
      </c>
      <c r="Q548">
        <v>1919</v>
      </c>
      <c r="R548">
        <v>2</v>
      </c>
      <c r="S548" s="15">
        <f t="shared" si="8"/>
        <v>46143</v>
      </c>
    </row>
    <row r="549" spans="1:19">
      <c r="A549" t="s">
        <v>625</v>
      </c>
      <c r="B549" s="2">
        <v>46146</v>
      </c>
      <c r="C549" t="s">
        <v>40</v>
      </c>
      <c r="D549" t="s">
        <v>47</v>
      </c>
      <c r="E549" t="s">
        <v>42</v>
      </c>
      <c r="F549" t="s">
        <v>22</v>
      </c>
      <c r="G549" t="s">
        <v>32</v>
      </c>
      <c r="H549" t="s">
        <v>33</v>
      </c>
      <c r="I549">
        <v>3</v>
      </c>
      <c r="J549">
        <v>2300</v>
      </c>
      <c r="K549">
        <v>0.05</v>
      </c>
      <c r="L549" t="s">
        <v>64</v>
      </c>
      <c r="M549" t="s">
        <v>71</v>
      </c>
      <c r="N549" t="s">
        <v>27</v>
      </c>
      <c r="O549">
        <v>6900</v>
      </c>
      <c r="P549">
        <v>345</v>
      </c>
      <c r="Q549">
        <v>6555</v>
      </c>
      <c r="R549">
        <v>4</v>
      </c>
      <c r="S549" s="15">
        <f t="shared" si="8"/>
        <v>46143</v>
      </c>
    </row>
    <row r="550" spans="1:19">
      <c r="A550" t="s">
        <v>626</v>
      </c>
      <c r="B550" s="2">
        <v>46147</v>
      </c>
      <c r="C550" t="s">
        <v>19</v>
      </c>
      <c r="D550" t="s">
        <v>57</v>
      </c>
      <c r="E550" t="s">
        <v>70</v>
      </c>
      <c r="F550" t="s">
        <v>22</v>
      </c>
      <c r="G550" t="s">
        <v>149</v>
      </c>
      <c r="H550" t="s">
        <v>33</v>
      </c>
      <c r="I550">
        <v>3</v>
      </c>
      <c r="J550">
        <v>3690</v>
      </c>
      <c r="K550">
        <v>0</v>
      </c>
      <c r="L550" t="s">
        <v>68</v>
      </c>
      <c r="M550" t="s">
        <v>26</v>
      </c>
      <c r="N550" t="s">
        <v>27</v>
      </c>
      <c r="O550">
        <v>11070</v>
      </c>
      <c r="P550">
        <v>0</v>
      </c>
      <c r="Q550">
        <v>11070</v>
      </c>
      <c r="R550">
        <v>3</v>
      </c>
      <c r="S550" s="15">
        <f t="shared" si="8"/>
        <v>46143</v>
      </c>
    </row>
    <row r="551" spans="1:19">
      <c r="A551" t="s">
        <v>627</v>
      </c>
      <c r="B551" s="2">
        <v>46147</v>
      </c>
      <c r="C551" t="s">
        <v>40</v>
      </c>
      <c r="D551" t="s">
        <v>47</v>
      </c>
      <c r="E551" t="s">
        <v>70</v>
      </c>
      <c r="F551" t="s">
        <v>22</v>
      </c>
      <c r="G551" t="s">
        <v>92</v>
      </c>
      <c r="H551" t="s">
        <v>24</v>
      </c>
      <c r="I551">
        <v>2</v>
      </c>
      <c r="J551">
        <v>16850</v>
      </c>
      <c r="K551">
        <v>0.15</v>
      </c>
      <c r="L551" t="s">
        <v>68</v>
      </c>
      <c r="M551" t="s">
        <v>26</v>
      </c>
      <c r="N551" t="s">
        <v>27</v>
      </c>
      <c r="O551">
        <v>33700</v>
      </c>
      <c r="P551">
        <v>5055</v>
      </c>
      <c r="Q551">
        <v>28645</v>
      </c>
      <c r="R551">
        <v>1</v>
      </c>
      <c r="S551" s="15">
        <f t="shared" si="8"/>
        <v>46143</v>
      </c>
    </row>
    <row r="552" spans="1:19">
      <c r="A552" t="s">
        <v>628</v>
      </c>
      <c r="B552" s="2">
        <v>46147</v>
      </c>
      <c r="C552" t="s">
        <v>29</v>
      </c>
      <c r="D552" t="s">
        <v>85</v>
      </c>
      <c r="E552" t="s">
        <v>21</v>
      </c>
      <c r="F552" t="s">
        <v>53</v>
      </c>
      <c r="G552" t="s">
        <v>43</v>
      </c>
      <c r="H552" t="s">
        <v>33</v>
      </c>
      <c r="I552">
        <v>3</v>
      </c>
      <c r="J552">
        <v>920</v>
      </c>
      <c r="K552">
        <v>0.03</v>
      </c>
      <c r="L552" t="s">
        <v>68</v>
      </c>
      <c r="M552" t="s">
        <v>44</v>
      </c>
      <c r="N552" t="s">
        <v>27</v>
      </c>
      <c r="O552">
        <v>2760</v>
      </c>
      <c r="P552">
        <v>82.8</v>
      </c>
      <c r="Q552">
        <v>2677.2</v>
      </c>
      <c r="R552">
        <v>2</v>
      </c>
      <c r="S552" s="15">
        <f t="shared" si="8"/>
        <v>46143</v>
      </c>
    </row>
    <row r="553" spans="1:19">
      <c r="A553" t="s">
        <v>629</v>
      </c>
      <c r="B553" s="2">
        <v>46147</v>
      </c>
      <c r="C553" t="s">
        <v>40</v>
      </c>
      <c r="D553" t="s">
        <v>89</v>
      </c>
      <c r="E553" t="s">
        <v>21</v>
      </c>
      <c r="F553" t="s">
        <v>31</v>
      </c>
      <c r="G553" t="s">
        <v>62</v>
      </c>
      <c r="H553" t="s">
        <v>33</v>
      </c>
      <c r="I553">
        <v>1</v>
      </c>
      <c r="J553">
        <v>1730</v>
      </c>
      <c r="K553">
        <v>0.1</v>
      </c>
      <c r="L553" t="s">
        <v>68</v>
      </c>
      <c r="M553" t="s">
        <v>38</v>
      </c>
      <c r="N553" t="s">
        <v>27</v>
      </c>
      <c r="O553">
        <v>1730</v>
      </c>
      <c r="P553">
        <v>173</v>
      </c>
      <c r="Q553">
        <v>1557</v>
      </c>
      <c r="R553">
        <v>3</v>
      </c>
      <c r="S553" s="15">
        <f t="shared" si="8"/>
        <v>46143</v>
      </c>
    </row>
    <row r="554" spans="1:19">
      <c r="A554" t="s">
        <v>630</v>
      </c>
      <c r="B554" s="2">
        <v>46148</v>
      </c>
      <c r="C554" t="s">
        <v>82</v>
      </c>
      <c r="D554" t="s">
        <v>178</v>
      </c>
      <c r="E554" t="s">
        <v>21</v>
      </c>
      <c r="F554" t="s">
        <v>31</v>
      </c>
      <c r="G554" t="s">
        <v>23</v>
      </c>
      <c r="H554" t="s">
        <v>24</v>
      </c>
      <c r="I554">
        <v>2</v>
      </c>
      <c r="J554">
        <v>28040</v>
      </c>
      <c r="K554">
        <v>0.03</v>
      </c>
      <c r="L554" t="s">
        <v>68</v>
      </c>
      <c r="M554" t="s">
        <v>44</v>
      </c>
      <c r="N554" t="s">
        <v>27</v>
      </c>
      <c r="O554">
        <v>56080</v>
      </c>
      <c r="P554">
        <v>1682.4</v>
      </c>
      <c r="Q554">
        <v>54397.599999999999</v>
      </c>
      <c r="R554">
        <v>1</v>
      </c>
      <c r="S554" s="15">
        <f t="shared" si="8"/>
        <v>46143</v>
      </c>
    </row>
    <row r="555" spans="1:19">
      <c r="A555" t="s">
        <v>631</v>
      </c>
      <c r="B555" s="2">
        <v>46148</v>
      </c>
      <c r="C555" t="s">
        <v>82</v>
      </c>
      <c r="D555" t="s">
        <v>122</v>
      </c>
      <c r="E555" t="s">
        <v>42</v>
      </c>
      <c r="F555" t="s">
        <v>22</v>
      </c>
      <c r="G555" t="s">
        <v>23</v>
      </c>
      <c r="H555" t="s">
        <v>24</v>
      </c>
      <c r="I555">
        <v>1</v>
      </c>
      <c r="J555">
        <v>28860</v>
      </c>
      <c r="K555">
        <v>0.05</v>
      </c>
      <c r="L555" t="s">
        <v>64</v>
      </c>
      <c r="M555" t="s">
        <v>44</v>
      </c>
      <c r="N555" t="s">
        <v>27</v>
      </c>
      <c r="O555">
        <v>28860</v>
      </c>
      <c r="P555">
        <v>1443</v>
      </c>
      <c r="Q555">
        <v>27417</v>
      </c>
      <c r="R555">
        <v>3</v>
      </c>
      <c r="S555" s="15">
        <f t="shared" si="8"/>
        <v>46143</v>
      </c>
    </row>
    <row r="556" spans="1:19">
      <c r="A556" t="s">
        <v>632</v>
      </c>
      <c r="B556" s="2">
        <v>46149</v>
      </c>
      <c r="C556" t="s">
        <v>19</v>
      </c>
      <c r="D556" t="s">
        <v>20</v>
      </c>
      <c r="E556" t="s">
        <v>21</v>
      </c>
      <c r="F556" t="s">
        <v>22</v>
      </c>
      <c r="G556" t="s">
        <v>37</v>
      </c>
      <c r="H556" t="s">
        <v>24</v>
      </c>
      <c r="I556">
        <v>3</v>
      </c>
      <c r="J556">
        <v>65560</v>
      </c>
      <c r="K556">
        <v>0</v>
      </c>
      <c r="L556" t="s">
        <v>54</v>
      </c>
      <c r="M556" t="s">
        <v>71</v>
      </c>
      <c r="N556" t="s">
        <v>27</v>
      </c>
      <c r="O556">
        <v>196680</v>
      </c>
      <c r="P556">
        <v>0</v>
      </c>
      <c r="Q556">
        <v>196680</v>
      </c>
      <c r="R556">
        <v>1</v>
      </c>
      <c r="S556" s="15">
        <f t="shared" si="8"/>
        <v>46143</v>
      </c>
    </row>
    <row r="557" spans="1:19">
      <c r="A557" t="s">
        <v>633</v>
      </c>
      <c r="B557" s="2">
        <v>46149</v>
      </c>
      <c r="C557" t="s">
        <v>29</v>
      </c>
      <c r="D557" t="s">
        <v>30</v>
      </c>
      <c r="E557" t="s">
        <v>42</v>
      </c>
      <c r="F557" t="s">
        <v>22</v>
      </c>
      <c r="G557" t="s">
        <v>92</v>
      </c>
      <c r="H557" t="s">
        <v>24</v>
      </c>
      <c r="I557">
        <v>2</v>
      </c>
      <c r="J557">
        <v>17430</v>
      </c>
      <c r="K557">
        <v>0.1</v>
      </c>
      <c r="L557" t="s">
        <v>25</v>
      </c>
      <c r="M557" t="s">
        <v>66</v>
      </c>
      <c r="N557" t="s">
        <v>27</v>
      </c>
      <c r="O557">
        <v>34860</v>
      </c>
      <c r="P557">
        <v>3486</v>
      </c>
      <c r="Q557">
        <v>31374</v>
      </c>
      <c r="R557">
        <v>2</v>
      </c>
      <c r="S557" s="15">
        <f t="shared" si="8"/>
        <v>46143</v>
      </c>
    </row>
    <row r="558" spans="1:19">
      <c r="A558" t="s">
        <v>634</v>
      </c>
      <c r="B558" s="2">
        <v>46149</v>
      </c>
      <c r="C558" t="s">
        <v>40</v>
      </c>
      <c r="D558" t="s">
        <v>47</v>
      </c>
      <c r="E558" t="s">
        <v>21</v>
      </c>
      <c r="F558" t="s">
        <v>31</v>
      </c>
      <c r="G558" t="s">
        <v>37</v>
      </c>
      <c r="H558" t="s">
        <v>24</v>
      </c>
      <c r="I558">
        <v>2</v>
      </c>
      <c r="J558">
        <v>59770</v>
      </c>
      <c r="K558">
        <v>0.05</v>
      </c>
      <c r="L558" t="s">
        <v>54</v>
      </c>
      <c r="M558" t="s">
        <v>44</v>
      </c>
      <c r="N558" t="s">
        <v>27</v>
      </c>
      <c r="O558">
        <v>119540</v>
      </c>
      <c r="P558">
        <v>5977</v>
      </c>
      <c r="Q558">
        <v>113563</v>
      </c>
      <c r="R558">
        <v>2</v>
      </c>
      <c r="S558" s="15">
        <f t="shared" si="8"/>
        <v>46143</v>
      </c>
    </row>
    <row r="559" spans="1:19">
      <c r="A559" t="s">
        <v>635</v>
      </c>
      <c r="B559" s="2">
        <v>46149</v>
      </c>
      <c r="C559" t="s">
        <v>29</v>
      </c>
      <c r="D559" t="s">
        <v>30</v>
      </c>
      <c r="E559" t="s">
        <v>42</v>
      </c>
      <c r="F559" t="s">
        <v>22</v>
      </c>
      <c r="G559" t="s">
        <v>95</v>
      </c>
      <c r="H559" t="s">
        <v>24</v>
      </c>
      <c r="I559">
        <v>4</v>
      </c>
      <c r="J559">
        <v>21080</v>
      </c>
      <c r="K559">
        <v>0.05</v>
      </c>
      <c r="L559" t="s">
        <v>54</v>
      </c>
      <c r="M559" t="s">
        <v>50</v>
      </c>
      <c r="N559" t="s">
        <v>27</v>
      </c>
      <c r="O559">
        <v>84320</v>
      </c>
      <c r="P559">
        <v>4216</v>
      </c>
      <c r="Q559">
        <v>80104</v>
      </c>
      <c r="R559">
        <v>3</v>
      </c>
      <c r="S559" s="15">
        <f t="shared" si="8"/>
        <v>46143</v>
      </c>
    </row>
    <row r="560" spans="1:19">
      <c r="A560" t="s">
        <v>636</v>
      </c>
      <c r="B560" s="2">
        <v>46149</v>
      </c>
      <c r="C560" t="s">
        <v>40</v>
      </c>
      <c r="D560" t="s">
        <v>115</v>
      </c>
      <c r="E560" t="s">
        <v>21</v>
      </c>
      <c r="F560" t="s">
        <v>31</v>
      </c>
      <c r="G560" t="s">
        <v>43</v>
      </c>
      <c r="H560" t="s">
        <v>33</v>
      </c>
      <c r="I560">
        <v>4</v>
      </c>
      <c r="J560">
        <v>910</v>
      </c>
      <c r="K560">
        <v>0</v>
      </c>
      <c r="L560" t="s">
        <v>64</v>
      </c>
      <c r="M560" t="s">
        <v>71</v>
      </c>
      <c r="N560" t="s">
        <v>27</v>
      </c>
      <c r="O560">
        <v>3640</v>
      </c>
      <c r="P560">
        <v>0</v>
      </c>
      <c r="Q560">
        <v>3640</v>
      </c>
      <c r="R560">
        <v>6</v>
      </c>
      <c r="S560" s="15">
        <f t="shared" si="8"/>
        <v>46143</v>
      </c>
    </row>
    <row r="561" spans="1:19">
      <c r="A561" t="s">
        <v>637</v>
      </c>
      <c r="B561" s="2">
        <v>46151</v>
      </c>
      <c r="C561" t="s">
        <v>19</v>
      </c>
      <c r="D561" t="s">
        <v>52</v>
      </c>
      <c r="E561" t="s">
        <v>42</v>
      </c>
      <c r="F561" t="s">
        <v>53</v>
      </c>
      <c r="G561" t="s">
        <v>149</v>
      </c>
      <c r="H561" t="s">
        <v>33</v>
      </c>
      <c r="I561">
        <v>1</v>
      </c>
      <c r="J561">
        <v>3800</v>
      </c>
      <c r="K561">
        <v>0.05</v>
      </c>
      <c r="L561" t="s">
        <v>54</v>
      </c>
      <c r="M561" t="s">
        <v>38</v>
      </c>
      <c r="N561" t="s">
        <v>27</v>
      </c>
      <c r="O561">
        <v>3800</v>
      </c>
      <c r="P561">
        <v>190</v>
      </c>
      <c r="Q561">
        <v>3610</v>
      </c>
      <c r="R561">
        <v>5</v>
      </c>
      <c r="S561" s="15">
        <f t="shared" si="8"/>
        <v>46143</v>
      </c>
    </row>
    <row r="562" spans="1:19">
      <c r="A562" t="s">
        <v>638</v>
      </c>
      <c r="B562" s="2">
        <v>46151</v>
      </c>
      <c r="C562" t="s">
        <v>40</v>
      </c>
      <c r="D562" t="s">
        <v>115</v>
      </c>
      <c r="E562" t="s">
        <v>42</v>
      </c>
      <c r="F562" t="s">
        <v>31</v>
      </c>
      <c r="G562" t="s">
        <v>23</v>
      </c>
      <c r="H562" t="s">
        <v>24</v>
      </c>
      <c r="I562">
        <v>3</v>
      </c>
      <c r="J562">
        <v>29430</v>
      </c>
      <c r="K562">
        <v>0.15</v>
      </c>
      <c r="L562" t="s">
        <v>68</v>
      </c>
      <c r="M562" t="s">
        <v>44</v>
      </c>
      <c r="N562" t="s">
        <v>27</v>
      </c>
      <c r="O562">
        <v>88290</v>
      </c>
      <c r="P562">
        <v>13243.5</v>
      </c>
      <c r="Q562">
        <v>75046.5</v>
      </c>
      <c r="R562">
        <v>3</v>
      </c>
      <c r="S562" s="15">
        <f t="shared" si="8"/>
        <v>46143</v>
      </c>
    </row>
    <row r="563" spans="1:19">
      <c r="A563" t="s">
        <v>639</v>
      </c>
      <c r="B563" s="2">
        <v>46153</v>
      </c>
      <c r="C563" t="s">
        <v>40</v>
      </c>
      <c r="D563" t="s">
        <v>115</v>
      </c>
      <c r="E563" t="s">
        <v>42</v>
      </c>
      <c r="F563" t="s">
        <v>53</v>
      </c>
      <c r="G563" t="s">
        <v>62</v>
      </c>
      <c r="H563" t="s">
        <v>33</v>
      </c>
      <c r="I563">
        <v>1</v>
      </c>
      <c r="J563">
        <v>1860</v>
      </c>
      <c r="K563">
        <v>0.05</v>
      </c>
      <c r="L563" t="s">
        <v>68</v>
      </c>
      <c r="M563" t="s">
        <v>55</v>
      </c>
      <c r="N563" t="s">
        <v>27</v>
      </c>
      <c r="O563">
        <v>1860</v>
      </c>
      <c r="P563">
        <v>93</v>
      </c>
      <c r="Q563">
        <v>1767</v>
      </c>
      <c r="R563">
        <v>3</v>
      </c>
      <c r="S563" s="15">
        <f t="shared" si="8"/>
        <v>46143</v>
      </c>
    </row>
    <row r="564" spans="1:19">
      <c r="A564" t="s">
        <v>640</v>
      </c>
      <c r="B564" s="2">
        <v>46153</v>
      </c>
      <c r="C564" t="s">
        <v>40</v>
      </c>
      <c r="D564" t="s">
        <v>115</v>
      </c>
      <c r="E564" t="s">
        <v>21</v>
      </c>
      <c r="F564" t="s">
        <v>22</v>
      </c>
      <c r="G564" t="s">
        <v>152</v>
      </c>
      <c r="H564" t="s">
        <v>74</v>
      </c>
      <c r="I564">
        <v>5</v>
      </c>
      <c r="J564">
        <v>14460</v>
      </c>
      <c r="K564">
        <v>0.03</v>
      </c>
      <c r="L564" t="s">
        <v>34</v>
      </c>
      <c r="M564" t="s">
        <v>44</v>
      </c>
      <c r="N564" t="s">
        <v>27</v>
      </c>
      <c r="O564">
        <v>72300</v>
      </c>
      <c r="P564">
        <v>2169</v>
      </c>
      <c r="Q564">
        <v>70131</v>
      </c>
      <c r="R564">
        <v>1</v>
      </c>
      <c r="S564" s="15">
        <f t="shared" si="8"/>
        <v>46143</v>
      </c>
    </row>
    <row r="565" spans="1:19">
      <c r="A565" t="s">
        <v>641</v>
      </c>
      <c r="B565" s="2">
        <v>46154</v>
      </c>
      <c r="C565" t="s">
        <v>40</v>
      </c>
      <c r="D565" t="s">
        <v>47</v>
      </c>
      <c r="E565" t="s">
        <v>42</v>
      </c>
      <c r="F565" t="s">
        <v>22</v>
      </c>
      <c r="G565" t="s">
        <v>95</v>
      </c>
      <c r="H565" t="s">
        <v>24</v>
      </c>
      <c r="I565">
        <v>2</v>
      </c>
      <c r="J565">
        <v>20620</v>
      </c>
      <c r="K565">
        <v>0.03</v>
      </c>
      <c r="L565" t="s">
        <v>34</v>
      </c>
      <c r="M565" t="s">
        <v>71</v>
      </c>
      <c r="N565" t="s">
        <v>27</v>
      </c>
      <c r="O565">
        <v>41240</v>
      </c>
      <c r="P565">
        <v>1237.2</v>
      </c>
      <c r="Q565">
        <v>40002.800000000003</v>
      </c>
      <c r="R565">
        <v>1</v>
      </c>
      <c r="S565" s="15">
        <f t="shared" si="8"/>
        <v>46143</v>
      </c>
    </row>
    <row r="566" spans="1:19">
      <c r="A566" t="s">
        <v>642</v>
      </c>
      <c r="B566" s="2">
        <v>46155</v>
      </c>
      <c r="C566" t="s">
        <v>29</v>
      </c>
      <c r="D566" t="s">
        <v>78</v>
      </c>
      <c r="E566" t="s">
        <v>70</v>
      </c>
      <c r="F566" t="s">
        <v>22</v>
      </c>
      <c r="G566" t="s">
        <v>105</v>
      </c>
      <c r="H566" t="s">
        <v>24</v>
      </c>
      <c r="I566">
        <v>5</v>
      </c>
      <c r="J566">
        <v>3200</v>
      </c>
      <c r="K566">
        <v>0.03</v>
      </c>
      <c r="L566" t="s">
        <v>34</v>
      </c>
      <c r="M566" t="s">
        <v>66</v>
      </c>
      <c r="N566" t="s">
        <v>27</v>
      </c>
      <c r="O566">
        <v>16000</v>
      </c>
      <c r="P566">
        <v>480</v>
      </c>
      <c r="Q566">
        <v>15520</v>
      </c>
      <c r="R566">
        <v>2</v>
      </c>
      <c r="S566" s="15">
        <f t="shared" si="8"/>
        <v>46143</v>
      </c>
    </row>
    <row r="567" spans="1:19">
      <c r="A567" t="s">
        <v>643</v>
      </c>
      <c r="B567" s="2">
        <v>46156</v>
      </c>
      <c r="C567" t="s">
        <v>40</v>
      </c>
      <c r="D567" t="s">
        <v>115</v>
      </c>
      <c r="E567" t="s">
        <v>42</v>
      </c>
      <c r="F567" t="s">
        <v>22</v>
      </c>
      <c r="G567" t="s">
        <v>92</v>
      </c>
      <c r="H567" t="s">
        <v>24</v>
      </c>
      <c r="I567">
        <v>4</v>
      </c>
      <c r="J567">
        <v>16780</v>
      </c>
      <c r="K567">
        <v>0.08</v>
      </c>
      <c r="L567" t="s">
        <v>68</v>
      </c>
      <c r="M567" t="s">
        <v>50</v>
      </c>
      <c r="N567" t="s">
        <v>27</v>
      </c>
      <c r="O567">
        <v>67120</v>
      </c>
      <c r="P567">
        <v>5369.6</v>
      </c>
      <c r="Q567">
        <v>61750.400000000001</v>
      </c>
      <c r="R567">
        <v>5</v>
      </c>
      <c r="S567" s="15">
        <f t="shared" si="8"/>
        <v>46143</v>
      </c>
    </row>
    <row r="568" spans="1:19">
      <c r="A568" t="s">
        <v>644</v>
      </c>
      <c r="B568" s="2">
        <v>46156</v>
      </c>
      <c r="C568" t="s">
        <v>29</v>
      </c>
      <c r="D568" t="s">
        <v>30</v>
      </c>
      <c r="E568" t="s">
        <v>42</v>
      </c>
      <c r="F568" t="s">
        <v>22</v>
      </c>
      <c r="G568" t="s">
        <v>37</v>
      </c>
      <c r="H568" t="s">
        <v>24</v>
      </c>
      <c r="I568">
        <v>5</v>
      </c>
      <c r="J568">
        <v>61610</v>
      </c>
      <c r="K568">
        <v>0.03</v>
      </c>
      <c r="L568" t="s">
        <v>68</v>
      </c>
      <c r="M568" t="s">
        <v>55</v>
      </c>
      <c r="N568" t="s">
        <v>27</v>
      </c>
      <c r="O568">
        <v>308050</v>
      </c>
      <c r="P568">
        <v>9241.5</v>
      </c>
      <c r="Q568">
        <v>298808.5</v>
      </c>
      <c r="R568">
        <v>2</v>
      </c>
      <c r="S568" s="15">
        <f t="shared" si="8"/>
        <v>46143</v>
      </c>
    </row>
    <row r="569" spans="1:19">
      <c r="A569" t="s">
        <v>645</v>
      </c>
      <c r="B569" s="2">
        <v>46157</v>
      </c>
      <c r="C569" t="s">
        <v>40</v>
      </c>
      <c r="D569" t="s">
        <v>41</v>
      </c>
      <c r="E569" t="s">
        <v>21</v>
      </c>
      <c r="F569" t="s">
        <v>53</v>
      </c>
      <c r="G569" t="s">
        <v>73</v>
      </c>
      <c r="H569" t="s">
        <v>74</v>
      </c>
      <c r="I569">
        <v>4</v>
      </c>
      <c r="J569">
        <v>11220</v>
      </c>
      <c r="K569">
        <v>0.05</v>
      </c>
      <c r="L569" t="s">
        <v>54</v>
      </c>
      <c r="M569" t="s">
        <v>26</v>
      </c>
      <c r="N569" t="s">
        <v>27</v>
      </c>
      <c r="O569">
        <v>44880</v>
      </c>
      <c r="P569">
        <v>2244</v>
      </c>
      <c r="Q569">
        <v>42636</v>
      </c>
      <c r="R569">
        <v>4</v>
      </c>
      <c r="S569" s="15">
        <f t="shared" si="8"/>
        <v>46143</v>
      </c>
    </row>
    <row r="570" spans="1:19">
      <c r="A570" t="s">
        <v>646</v>
      </c>
      <c r="B570" s="2">
        <v>46157</v>
      </c>
      <c r="C570" t="s">
        <v>19</v>
      </c>
      <c r="D570" t="s">
        <v>20</v>
      </c>
      <c r="E570" t="s">
        <v>21</v>
      </c>
      <c r="F570" t="s">
        <v>22</v>
      </c>
      <c r="G570" t="s">
        <v>105</v>
      </c>
      <c r="H570" t="s">
        <v>24</v>
      </c>
      <c r="I570">
        <v>2</v>
      </c>
      <c r="J570">
        <v>3180</v>
      </c>
      <c r="K570">
        <v>0.1</v>
      </c>
      <c r="L570" t="s">
        <v>34</v>
      </c>
      <c r="M570" t="s">
        <v>26</v>
      </c>
      <c r="N570" t="s">
        <v>27</v>
      </c>
      <c r="O570">
        <v>6360</v>
      </c>
      <c r="P570">
        <v>636</v>
      </c>
      <c r="Q570">
        <v>5724</v>
      </c>
      <c r="R570">
        <v>1</v>
      </c>
      <c r="S570" s="15">
        <f t="shared" si="8"/>
        <v>46143</v>
      </c>
    </row>
    <row r="571" spans="1:19">
      <c r="A571" t="s">
        <v>647</v>
      </c>
      <c r="B571" s="2">
        <v>46157</v>
      </c>
      <c r="C571" t="s">
        <v>19</v>
      </c>
      <c r="D571" t="s">
        <v>103</v>
      </c>
      <c r="E571" t="s">
        <v>21</v>
      </c>
      <c r="F571" t="s">
        <v>22</v>
      </c>
      <c r="G571" t="s">
        <v>43</v>
      </c>
      <c r="H571" t="s">
        <v>33</v>
      </c>
      <c r="I571">
        <v>3</v>
      </c>
      <c r="J571">
        <v>990</v>
      </c>
      <c r="K571">
        <v>0.05</v>
      </c>
      <c r="L571" t="s">
        <v>34</v>
      </c>
      <c r="M571" t="s">
        <v>55</v>
      </c>
      <c r="N571" t="s">
        <v>27</v>
      </c>
      <c r="O571">
        <v>2970</v>
      </c>
      <c r="P571">
        <v>148.5</v>
      </c>
      <c r="Q571">
        <v>2821.5</v>
      </c>
      <c r="R571">
        <v>2</v>
      </c>
      <c r="S571" s="15">
        <f t="shared" si="8"/>
        <v>46143</v>
      </c>
    </row>
    <row r="572" spans="1:19">
      <c r="A572" t="s">
        <v>648</v>
      </c>
      <c r="B572" s="2">
        <v>46158</v>
      </c>
      <c r="C572" t="s">
        <v>29</v>
      </c>
      <c r="D572" t="s">
        <v>61</v>
      </c>
      <c r="E572" t="s">
        <v>21</v>
      </c>
      <c r="F572" t="s">
        <v>22</v>
      </c>
      <c r="G572" t="s">
        <v>73</v>
      </c>
      <c r="H572" t="s">
        <v>74</v>
      </c>
      <c r="I572">
        <v>4</v>
      </c>
      <c r="J572">
        <v>11710</v>
      </c>
      <c r="K572">
        <v>0.05</v>
      </c>
      <c r="L572" t="s">
        <v>68</v>
      </c>
      <c r="M572" t="s">
        <v>38</v>
      </c>
      <c r="N572" t="s">
        <v>27</v>
      </c>
      <c r="O572">
        <v>46840</v>
      </c>
      <c r="P572">
        <v>2342</v>
      </c>
      <c r="Q572">
        <v>44498</v>
      </c>
      <c r="R572">
        <v>4</v>
      </c>
      <c r="S572" s="15">
        <f t="shared" si="8"/>
        <v>46143</v>
      </c>
    </row>
    <row r="573" spans="1:19">
      <c r="A573" t="s">
        <v>649</v>
      </c>
      <c r="B573" s="2">
        <v>46158</v>
      </c>
      <c r="C573" t="s">
        <v>19</v>
      </c>
      <c r="D573" t="s">
        <v>103</v>
      </c>
      <c r="E573" t="s">
        <v>70</v>
      </c>
      <c r="F573" t="s">
        <v>22</v>
      </c>
      <c r="G573" t="s">
        <v>152</v>
      </c>
      <c r="H573" t="s">
        <v>74</v>
      </c>
      <c r="I573">
        <v>2</v>
      </c>
      <c r="J573">
        <v>15510</v>
      </c>
      <c r="K573">
        <v>0.03</v>
      </c>
      <c r="L573" t="s">
        <v>54</v>
      </c>
      <c r="M573" t="s">
        <v>26</v>
      </c>
      <c r="N573" t="s">
        <v>27</v>
      </c>
      <c r="O573">
        <v>31020</v>
      </c>
      <c r="P573">
        <v>930.6</v>
      </c>
      <c r="Q573">
        <v>30089.4</v>
      </c>
      <c r="R573">
        <v>7</v>
      </c>
      <c r="S573" s="15">
        <f t="shared" si="8"/>
        <v>46143</v>
      </c>
    </row>
    <row r="574" spans="1:19">
      <c r="A574" t="s">
        <v>650</v>
      </c>
      <c r="B574" s="2">
        <v>46159</v>
      </c>
      <c r="C574" t="s">
        <v>19</v>
      </c>
      <c r="D574" t="s">
        <v>52</v>
      </c>
      <c r="E574" t="s">
        <v>21</v>
      </c>
      <c r="F574" t="s">
        <v>22</v>
      </c>
      <c r="G574" t="s">
        <v>95</v>
      </c>
      <c r="H574" t="s">
        <v>24</v>
      </c>
      <c r="I574">
        <v>1</v>
      </c>
      <c r="J574">
        <v>22250</v>
      </c>
      <c r="K574">
        <v>0.08</v>
      </c>
      <c r="L574" t="s">
        <v>68</v>
      </c>
      <c r="M574" t="s">
        <v>44</v>
      </c>
      <c r="N574" t="s">
        <v>27</v>
      </c>
      <c r="O574">
        <v>22250</v>
      </c>
      <c r="P574">
        <v>1780</v>
      </c>
      <c r="Q574">
        <v>20470</v>
      </c>
      <c r="R574">
        <v>2</v>
      </c>
      <c r="S574" s="15">
        <f t="shared" si="8"/>
        <v>46143</v>
      </c>
    </row>
    <row r="575" spans="1:19">
      <c r="A575" t="s">
        <v>651</v>
      </c>
      <c r="B575" s="2">
        <v>46159</v>
      </c>
      <c r="C575" t="s">
        <v>29</v>
      </c>
      <c r="D575" t="s">
        <v>78</v>
      </c>
      <c r="E575" t="s">
        <v>21</v>
      </c>
      <c r="F575" t="s">
        <v>22</v>
      </c>
      <c r="G575" t="s">
        <v>43</v>
      </c>
      <c r="H575" t="s">
        <v>33</v>
      </c>
      <c r="I575">
        <v>1</v>
      </c>
      <c r="J575">
        <v>880</v>
      </c>
      <c r="K575">
        <v>0.1</v>
      </c>
      <c r="L575" t="s">
        <v>54</v>
      </c>
      <c r="M575" t="s">
        <v>38</v>
      </c>
      <c r="N575" t="s">
        <v>27</v>
      </c>
      <c r="O575">
        <v>880</v>
      </c>
      <c r="P575">
        <v>88</v>
      </c>
      <c r="Q575">
        <v>792</v>
      </c>
      <c r="R575">
        <v>1</v>
      </c>
      <c r="S575" s="15">
        <f t="shared" si="8"/>
        <v>46143</v>
      </c>
    </row>
    <row r="576" spans="1:19">
      <c r="A576" t="s">
        <v>652</v>
      </c>
      <c r="B576" s="2">
        <v>46160</v>
      </c>
      <c r="C576" t="s">
        <v>40</v>
      </c>
      <c r="D576" t="s">
        <v>47</v>
      </c>
      <c r="E576" t="s">
        <v>21</v>
      </c>
      <c r="F576" t="s">
        <v>22</v>
      </c>
      <c r="G576" t="s">
        <v>101</v>
      </c>
      <c r="H576" t="s">
        <v>33</v>
      </c>
      <c r="I576">
        <v>1</v>
      </c>
      <c r="J576">
        <v>1850</v>
      </c>
      <c r="K576">
        <v>0.05</v>
      </c>
      <c r="L576" t="s">
        <v>25</v>
      </c>
      <c r="M576" t="s">
        <v>44</v>
      </c>
      <c r="N576" t="s">
        <v>130</v>
      </c>
      <c r="O576">
        <v>1850</v>
      </c>
      <c r="P576">
        <v>92.5</v>
      </c>
      <c r="Q576">
        <v>1757.5</v>
      </c>
      <c r="R576">
        <v>2</v>
      </c>
      <c r="S576" s="15">
        <f t="shared" si="8"/>
        <v>46143</v>
      </c>
    </row>
    <row r="577" spans="1:19">
      <c r="A577" t="s">
        <v>653</v>
      </c>
      <c r="B577" s="2">
        <v>46160</v>
      </c>
      <c r="C577" t="s">
        <v>40</v>
      </c>
      <c r="D577" t="s">
        <v>115</v>
      </c>
      <c r="E577" t="s">
        <v>21</v>
      </c>
      <c r="F577" t="s">
        <v>22</v>
      </c>
      <c r="G577" t="s">
        <v>23</v>
      </c>
      <c r="H577" t="s">
        <v>24</v>
      </c>
      <c r="I577">
        <v>2</v>
      </c>
      <c r="J577">
        <v>28470</v>
      </c>
      <c r="K577">
        <v>0.08</v>
      </c>
      <c r="L577" t="s">
        <v>54</v>
      </c>
      <c r="M577" t="s">
        <v>71</v>
      </c>
      <c r="N577" t="s">
        <v>27</v>
      </c>
      <c r="O577">
        <v>56940</v>
      </c>
      <c r="P577">
        <v>4555.2</v>
      </c>
      <c r="Q577">
        <v>52384.800000000003</v>
      </c>
      <c r="R577">
        <v>2</v>
      </c>
      <c r="S577" s="15">
        <f t="shared" si="8"/>
        <v>46143</v>
      </c>
    </row>
    <row r="578" spans="1:19">
      <c r="A578" t="s">
        <v>654</v>
      </c>
      <c r="B578" s="2">
        <v>46160</v>
      </c>
      <c r="C578" t="s">
        <v>29</v>
      </c>
      <c r="D578" t="s">
        <v>30</v>
      </c>
      <c r="E578" t="s">
        <v>21</v>
      </c>
      <c r="F578" t="s">
        <v>22</v>
      </c>
      <c r="G578" t="s">
        <v>73</v>
      </c>
      <c r="H578" t="s">
        <v>74</v>
      </c>
      <c r="I578">
        <v>1</v>
      </c>
      <c r="J578">
        <v>11610</v>
      </c>
      <c r="K578">
        <v>0.05</v>
      </c>
      <c r="L578" t="s">
        <v>68</v>
      </c>
      <c r="M578" t="s">
        <v>35</v>
      </c>
      <c r="N578" t="s">
        <v>27</v>
      </c>
      <c r="O578">
        <v>11610</v>
      </c>
      <c r="P578">
        <v>580.5</v>
      </c>
      <c r="Q578">
        <v>11029.5</v>
      </c>
      <c r="R578">
        <v>2</v>
      </c>
      <c r="S578" s="15">
        <f t="shared" ref="S578:S641" si="9">DATE(YEAR(B578),MONTH(B578),1)</f>
        <v>46143</v>
      </c>
    </row>
    <row r="579" spans="1:19">
      <c r="A579" t="s">
        <v>655</v>
      </c>
      <c r="B579" s="2">
        <v>46162</v>
      </c>
      <c r="C579" t="s">
        <v>40</v>
      </c>
      <c r="D579" t="s">
        <v>47</v>
      </c>
      <c r="E579" t="s">
        <v>42</v>
      </c>
      <c r="F579" t="s">
        <v>53</v>
      </c>
      <c r="G579" t="s">
        <v>92</v>
      </c>
      <c r="H579" t="s">
        <v>24</v>
      </c>
      <c r="I579">
        <v>3</v>
      </c>
      <c r="J579">
        <v>15470</v>
      </c>
      <c r="K579">
        <v>0.05</v>
      </c>
      <c r="L579" t="s">
        <v>64</v>
      </c>
      <c r="M579" t="s">
        <v>26</v>
      </c>
      <c r="N579" t="s">
        <v>27</v>
      </c>
      <c r="O579">
        <v>46410</v>
      </c>
      <c r="P579">
        <v>2320.5</v>
      </c>
      <c r="Q579">
        <v>44089.5</v>
      </c>
      <c r="R579">
        <v>2</v>
      </c>
      <c r="S579" s="15">
        <f t="shared" si="9"/>
        <v>46143</v>
      </c>
    </row>
    <row r="580" spans="1:19">
      <c r="A580" t="s">
        <v>656</v>
      </c>
      <c r="B580" s="2">
        <v>46163</v>
      </c>
      <c r="C580" t="s">
        <v>82</v>
      </c>
      <c r="D580" t="s">
        <v>83</v>
      </c>
      <c r="E580" t="s">
        <v>42</v>
      </c>
      <c r="F580" t="s">
        <v>22</v>
      </c>
      <c r="G580" t="s">
        <v>37</v>
      </c>
      <c r="H580" t="s">
        <v>24</v>
      </c>
      <c r="I580">
        <v>4</v>
      </c>
      <c r="J580">
        <v>63490</v>
      </c>
      <c r="K580">
        <v>0.1</v>
      </c>
      <c r="L580" t="s">
        <v>64</v>
      </c>
      <c r="M580" t="s">
        <v>55</v>
      </c>
      <c r="N580" t="s">
        <v>27</v>
      </c>
      <c r="O580">
        <v>253960</v>
      </c>
      <c r="P580">
        <v>25396</v>
      </c>
      <c r="Q580">
        <v>228564</v>
      </c>
      <c r="R580">
        <v>2</v>
      </c>
      <c r="S580" s="15">
        <f t="shared" si="9"/>
        <v>46143</v>
      </c>
    </row>
    <row r="581" spans="1:19">
      <c r="A581" t="s">
        <v>657</v>
      </c>
      <c r="B581" s="2">
        <v>46163</v>
      </c>
      <c r="C581" t="s">
        <v>19</v>
      </c>
      <c r="D581" t="s">
        <v>20</v>
      </c>
      <c r="E581" t="s">
        <v>42</v>
      </c>
      <c r="F581" t="s">
        <v>53</v>
      </c>
      <c r="G581" t="s">
        <v>62</v>
      </c>
      <c r="H581" t="s">
        <v>33</v>
      </c>
      <c r="I581">
        <v>1</v>
      </c>
      <c r="J581">
        <v>1830</v>
      </c>
      <c r="K581">
        <v>0.05</v>
      </c>
      <c r="L581" t="s">
        <v>54</v>
      </c>
      <c r="M581" t="s">
        <v>38</v>
      </c>
      <c r="N581" t="s">
        <v>27</v>
      </c>
      <c r="O581">
        <v>1830</v>
      </c>
      <c r="P581">
        <v>91.5</v>
      </c>
      <c r="Q581">
        <v>1738.5</v>
      </c>
      <c r="R581">
        <v>2</v>
      </c>
      <c r="S581" s="15">
        <f t="shared" si="9"/>
        <v>46143</v>
      </c>
    </row>
    <row r="582" spans="1:19">
      <c r="A582" t="s">
        <v>658</v>
      </c>
      <c r="B582" s="2">
        <v>46163</v>
      </c>
      <c r="C582" t="s">
        <v>19</v>
      </c>
      <c r="D582" t="s">
        <v>20</v>
      </c>
      <c r="E582" t="s">
        <v>70</v>
      </c>
      <c r="F582" t="s">
        <v>53</v>
      </c>
      <c r="G582" t="s">
        <v>58</v>
      </c>
      <c r="H582" t="s">
        <v>59</v>
      </c>
      <c r="I582">
        <v>1</v>
      </c>
      <c r="J582">
        <v>6860</v>
      </c>
      <c r="K582">
        <v>0</v>
      </c>
      <c r="L582" t="s">
        <v>54</v>
      </c>
      <c r="M582" t="s">
        <v>35</v>
      </c>
      <c r="N582" t="s">
        <v>27</v>
      </c>
      <c r="O582">
        <v>6860</v>
      </c>
      <c r="P582">
        <v>0</v>
      </c>
      <c r="Q582">
        <v>6860</v>
      </c>
      <c r="R582">
        <v>2</v>
      </c>
      <c r="S582" s="15">
        <f t="shared" si="9"/>
        <v>46143</v>
      </c>
    </row>
    <row r="583" spans="1:19">
      <c r="A583" t="s">
        <v>659</v>
      </c>
      <c r="B583" s="2">
        <v>46164</v>
      </c>
      <c r="C583" t="s">
        <v>29</v>
      </c>
      <c r="D583" t="s">
        <v>30</v>
      </c>
      <c r="E583" t="s">
        <v>21</v>
      </c>
      <c r="F583" t="s">
        <v>22</v>
      </c>
      <c r="G583" t="s">
        <v>92</v>
      </c>
      <c r="H583" t="s">
        <v>24</v>
      </c>
      <c r="I583">
        <v>2</v>
      </c>
      <c r="J583">
        <v>17640</v>
      </c>
      <c r="K583">
        <v>0</v>
      </c>
      <c r="L583" t="s">
        <v>68</v>
      </c>
      <c r="M583" t="s">
        <v>50</v>
      </c>
      <c r="N583" t="s">
        <v>27</v>
      </c>
      <c r="O583">
        <v>35280</v>
      </c>
      <c r="P583">
        <v>0</v>
      </c>
      <c r="Q583">
        <v>35280</v>
      </c>
      <c r="R583">
        <v>3</v>
      </c>
      <c r="S583" s="15">
        <f t="shared" si="9"/>
        <v>46143</v>
      </c>
    </row>
    <row r="584" spans="1:19">
      <c r="A584" t="s">
        <v>660</v>
      </c>
      <c r="B584" s="2">
        <v>46164</v>
      </c>
      <c r="C584" t="s">
        <v>19</v>
      </c>
      <c r="D584" t="s">
        <v>57</v>
      </c>
      <c r="E584" t="s">
        <v>42</v>
      </c>
      <c r="F584" t="s">
        <v>31</v>
      </c>
      <c r="G584" t="s">
        <v>43</v>
      </c>
      <c r="H584" t="s">
        <v>33</v>
      </c>
      <c r="I584">
        <v>1</v>
      </c>
      <c r="J584">
        <v>990</v>
      </c>
      <c r="K584">
        <v>0</v>
      </c>
      <c r="L584" t="s">
        <v>68</v>
      </c>
      <c r="M584" t="s">
        <v>26</v>
      </c>
      <c r="N584" t="s">
        <v>27</v>
      </c>
      <c r="O584">
        <v>990</v>
      </c>
      <c r="P584">
        <v>0</v>
      </c>
      <c r="Q584">
        <v>990</v>
      </c>
      <c r="R584">
        <v>3</v>
      </c>
      <c r="S584" s="15">
        <f t="shared" si="9"/>
        <v>46143</v>
      </c>
    </row>
    <row r="585" spans="1:19">
      <c r="A585" t="s">
        <v>661</v>
      </c>
      <c r="B585" s="2">
        <v>46165</v>
      </c>
      <c r="C585" t="s">
        <v>82</v>
      </c>
      <c r="D585" t="s">
        <v>178</v>
      </c>
      <c r="E585" t="s">
        <v>70</v>
      </c>
      <c r="F585" t="s">
        <v>22</v>
      </c>
      <c r="G585" t="s">
        <v>149</v>
      </c>
      <c r="H585" t="s">
        <v>33</v>
      </c>
      <c r="I585">
        <v>1</v>
      </c>
      <c r="J585">
        <v>3520</v>
      </c>
      <c r="K585">
        <v>0.1</v>
      </c>
      <c r="L585" t="s">
        <v>64</v>
      </c>
      <c r="M585" t="s">
        <v>66</v>
      </c>
      <c r="N585" t="s">
        <v>27</v>
      </c>
      <c r="O585">
        <v>3520</v>
      </c>
      <c r="P585">
        <v>352</v>
      </c>
      <c r="Q585">
        <v>3168</v>
      </c>
      <c r="R585">
        <v>3</v>
      </c>
      <c r="S585" s="15">
        <f t="shared" si="9"/>
        <v>46143</v>
      </c>
    </row>
    <row r="586" spans="1:19">
      <c r="A586" t="s">
        <v>662</v>
      </c>
      <c r="B586" s="2">
        <v>46166</v>
      </c>
      <c r="C586" t="s">
        <v>19</v>
      </c>
      <c r="D586" t="s">
        <v>103</v>
      </c>
      <c r="E586" t="s">
        <v>70</v>
      </c>
      <c r="F586" t="s">
        <v>53</v>
      </c>
      <c r="G586" t="s">
        <v>43</v>
      </c>
      <c r="H586" t="s">
        <v>33</v>
      </c>
      <c r="I586">
        <v>4</v>
      </c>
      <c r="J586">
        <v>1000</v>
      </c>
      <c r="K586">
        <v>0.08</v>
      </c>
      <c r="L586" t="s">
        <v>64</v>
      </c>
      <c r="M586" t="s">
        <v>71</v>
      </c>
      <c r="N586" t="s">
        <v>27</v>
      </c>
      <c r="O586">
        <v>4000</v>
      </c>
      <c r="P586">
        <v>320</v>
      </c>
      <c r="Q586">
        <v>3680</v>
      </c>
      <c r="R586">
        <v>7</v>
      </c>
      <c r="S586" s="15">
        <f t="shared" si="9"/>
        <v>46143</v>
      </c>
    </row>
    <row r="587" spans="1:19">
      <c r="A587" t="s">
        <v>663</v>
      </c>
      <c r="B587" s="2">
        <v>46166</v>
      </c>
      <c r="C587" t="s">
        <v>40</v>
      </c>
      <c r="D587" t="s">
        <v>115</v>
      </c>
      <c r="E587" t="s">
        <v>70</v>
      </c>
      <c r="F587" t="s">
        <v>53</v>
      </c>
      <c r="G587" t="s">
        <v>92</v>
      </c>
      <c r="H587" t="s">
        <v>24</v>
      </c>
      <c r="I587">
        <v>5</v>
      </c>
      <c r="J587">
        <v>17540</v>
      </c>
      <c r="K587">
        <v>0.03</v>
      </c>
      <c r="L587" t="s">
        <v>68</v>
      </c>
      <c r="M587" t="s">
        <v>44</v>
      </c>
      <c r="N587" t="s">
        <v>45</v>
      </c>
      <c r="O587">
        <v>0</v>
      </c>
      <c r="P587">
        <v>0</v>
      </c>
      <c r="Q587">
        <v>0</v>
      </c>
      <c r="S587" s="15">
        <f t="shared" si="9"/>
        <v>46143</v>
      </c>
    </row>
    <row r="588" spans="1:19">
      <c r="A588" t="s">
        <v>664</v>
      </c>
      <c r="B588" s="2">
        <v>46167</v>
      </c>
      <c r="C588" t="s">
        <v>40</v>
      </c>
      <c r="D588" t="s">
        <v>89</v>
      </c>
      <c r="E588" t="s">
        <v>21</v>
      </c>
      <c r="F588" t="s">
        <v>22</v>
      </c>
      <c r="G588" t="s">
        <v>149</v>
      </c>
      <c r="H588" t="s">
        <v>33</v>
      </c>
      <c r="I588">
        <v>2</v>
      </c>
      <c r="J588">
        <v>3650</v>
      </c>
      <c r="K588">
        <v>0.15</v>
      </c>
      <c r="L588" t="s">
        <v>64</v>
      </c>
      <c r="M588" t="s">
        <v>50</v>
      </c>
      <c r="N588" t="s">
        <v>27</v>
      </c>
      <c r="O588">
        <v>7300</v>
      </c>
      <c r="P588">
        <v>1095</v>
      </c>
      <c r="Q588">
        <v>6205</v>
      </c>
      <c r="R588">
        <v>6</v>
      </c>
      <c r="S588" s="15">
        <f t="shared" si="9"/>
        <v>46143</v>
      </c>
    </row>
    <row r="589" spans="1:19">
      <c r="A589" t="s">
        <v>665</v>
      </c>
      <c r="B589" s="2">
        <v>46167</v>
      </c>
      <c r="C589" t="s">
        <v>82</v>
      </c>
      <c r="D589" t="s">
        <v>83</v>
      </c>
      <c r="E589" t="s">
        <v>21</v>
      </c>
      <c r="F589" t="s">
        <v>22</v>
      </c>
      <c r="G589" t="s">
        <v>48</v>
      </c>
      <c r="H589" t="s">
        <v>49</v>
      </c>
      <c r="I589">
        <v>2</v>
      </c>
      <c r="J589">
        <v>11790</v>
      </c>
      <c r="K589">
        <v>0.1</v>
      </c>
      <c r="L589" t="s">
        <v>64</v>
      </c>
      <c r="M589" t="s">
        <v>38</v>
      </c>
      <c r="N589" t="s">
        <v>27</v>
      </c>
      <c r="O589">
        <v>23580</v>
      </c>
      <c r="P589">
        <v>2358</v>
      </c>
      <c r="Q589">
        <v>21222</v>
      </c>
      <c r="R589">
        <v>6</v>
      </c>
      <c r="S589" s="15">
        <f t="shared" si="9"/>
        <v>46143</v>
      </c>
    </row>
    <row r="590" spans="1:19">
      <c r="A590" t="s">
        <v>666</v>
      </c>
      <c r="B590" s="2">
        <v>46167</v>
      </c>
      <c r="C590" t="s">
        <v>40</v>
      </c>
      <c r="D590" t="s">
        <v>47</v>
      </c>
      <c r="E590" t="s">
        <v>21</v>
      </c>
      <c r="F590" t="s">
        <v>31</v>
      </c>
      <c r="G590" t="s">
        <v>43</v>
      </c>
      <c r="H590" t="s">
        <v>33</v>
      </c>
      <c r="I590">
        <v>1</v>
      </c>
      <c r="J590">
        <v>970</v>
      </c>
      <c r="K590">
        <v>0</v>
      </c>
      <c r="L590" t="s">
        <v>64</v>
      </c>
      <c r="M590" t="s">
        <v>66</v>
      </c>
      <c r="N590" t="s">
        <v>27</v>
      </c>
      <c r="O590">
        <v>970</v>
      </c>
      <c r="P590">
        <v>0</v>
      </c>
      <c r="Q590">
        <v>970</v>
      </c>
      <c r="R590">
        <v>5</v>
      </c>
      <c r="S590" s="15">
        <f t="shared" si="9"/>
        <v>46143</v>
      </c>
    </row>
    <row r="591" spans="1:19">
      <c r="A591" t="s">
        <v>667</v>
      </c>
      <c r="B591" s="2">
        <v>46168</v>
      </c>
      <c r="C591" t="s">
        <v>82</v>
      </c>
      <c r="D591" t="s">
        <v>178</v>
      </c>
      <c r="E591" t="s">
        <v>21</v>
      </c>
      <c r="F591" t="s">
        <v>31</v>
      </c>
      <c r="G591" t="s">
        <v>37</v>
      </c>
      <c r="H591" t="s">
        <v>24</v>
      </c>
      <c r="I591">
        <v>3</v>
      </c>
      <c r="J591">
        <v>64180</v>
      </c>
      <c r="K591">
        <v>0.05</v>
      </c>
      <c r="L591" t="s">
        <v>25</v>
      </c>
      <c r="M591" t="s">
        <v>44</v>
      </c>
      <c r="N591" t="s">
        <v>27</v>
      </c>
      <c r="O591">
        <v>192540</v>
      </c>
      <c r="P591">
        <v>9627</v>
      </c>
      <c r="Q591">
        <v>182913</v>
      </c>
      <c r="R591">
        <v>4</v>
      </c>
      <c r="S591" s="15">
        <f t="shared" si="9"/>
        <v>46143</v>
      </c>
    </row>
    <row r="592" spans="1:19">
      <c r="A592" t="s">
        <v>668</v>
      </c>
      <c r="B592" s="2">
        <v>46168</v>
      </c>
      <c r="C592" t="s">
        <v>82</v>
      </c>
      <c r="D592" t="s">
        <v>122</v>
      </c>
      <c r="E592" t="s">
        <v>21</v>
      </c>
      <c r="F592" t="s">
        <v>22</v>
      </c>
      <c r="G592" t="s">
        <v>73</v>
      </c>
      <c r="H592" t="s">
        <v>74</v>
      </c>
      <c r="I592">
        <v>2</v>
      </c>
      <c r="J592">
        <v>11120</v>
      </c>
      <c r="K592">
        <v>0.08</v>
      </c>
      <c r="L592" t="s">
        <v>64</v>
      </c>
      <c r="M592" t="s">
        <v>66</v>
      </c>
      <c r="N592" t="s">
        <v>27</v>
      </c>
      <c r="O592">
        <v>22240</v>
      </c>
      <c r="P592">
        <v>1779.2</v>
      </c>
      <c r="Q592">
        <v>20460.8</v>
      </c>
      <c r="R592">
        <v>3</v>
      </c>
      <c r="S592" s="15">
        <f t="shared" si="9"/>
        <v>46143</v>
      </c>
    </row>
    <row r="593" spans="1:19">
      <c r="A593" t="s">
        <v>669</v>
      </c>
      <c r="B593" s="2">
        <v>46169</v>
      </c>
      <c r="C593" t="s">
        <v>29</v>
      </c>
      <c r="D593" t="s">
        <v>85</v>
      </c>
      <c r="E593" t="s">
        <v>21</v>
      </c>
      <c r="F593" t="s">
        <v>31</v>
      </c>
      <c r="G593" t="s">
        <v>105</v>
      </c>
      <c r="H593" t="s">
        <v>24</v>
      </c>
      <c r="I593">
        <v>3</v>
      </c>
      <c r="J593">
        <v>3040</v>
      </c>
      <c r="K593">
        <v>0.05</v>
      </c>
      <c r="L593" t="s">
        <v>34</v>
      </c>
      <c r="M593" t="s">
        <v>66</v>
      </c>
      <c r="N593" t="s">
        <v>27</v>
      </c>
      <c r="O593">
        <v>9120</v>
      </c>
      <c r="P593">
        <v>456</v>
      </c>
      <c r="Q593">
        <v>8664</v>
      </c>
      <c r="R593">
        <v>2</v>
      </c>
      <c r="S593" s="15">
        <f t="shared" si="9"/>
        <v>46143</v>
      </c>
    </row>
    <row r="594" spans="1:19">
      <c r="A594" t="s">
        <v>670</v>
      </c>
      <c r="B594" s="2">
        <v>46169</v>
      </c>
      <c r="C594" t="s">
        <v>19</v>
      </c>
      <c r="D594" t="s">
        <v>57</v>
      </c>
      <c r="E594" t="s">
        <v>42</v>
      </c>
      <c r="F594" t="s">
        <v>31</v>
      </c>
      <c r="G594" t="s">
        <v>105</v>
      </c>
      <c r="H594" t="s">
        <v>24</v>
      </c>
      <c r="I594">
        <v>2</v>
      </c>
      <c r="J594">
        <v>3150</v>
      </c>
      <c r="K594">
        <v>0.05</v>
      </c>
      <c r="L594" t="s">
        <v>64</v>
      </c>
      <c r="M594" t="s">
        <v>35</v>
      </c>
      <c r="N594" t="s">
        <v>27</v>
      </c>
      <c r="O594">
        <v>6300</v>
      </c>
      <c r="P594">
        <v>315</v>
      </c>
      <c r="Q594">
        <v>5985</v>
      </c>
      <c r="R594">
        <v>2</v>
      </c>
      <c r="S594" s="15">
        <f t="shared" si="9"/>
        <v>46143</v>
      </c>
    </row>
    <row r="595" spans="1:19">
      <c r="A595" t="s">
        <v>671</v>
      </c>
      <c r="B595" s="2">
        <v>46169</v>
      </c>
      <c r="C595" t="s">
        <v>40</v>
      </c>
      <c r="D595" t="s">
        <v>47</v>
      </c>
      <c r="E595" t="s">
        <v>42</v>
      </c>
      <c r="F595" t="s">
        <v>22</v>
      </c>
      <c r="G595" t="s">
        <v>62</v>
      </c>
      <c r="H595" t="s">
        <v>33</v>
      </c>
      <c r="I595">
        <v>2</v>
      </c>
      <c r="J595">
        <v>1890</v>
      </c>
      <c r="K595">
        <v>0.05</v>
      </c>
      <c r="L595" t="s">
        <v>34</v>
      </c>
      <c r="M595" t="s">
        <v>35</v>
      </c>
      <c r="N595" t="s">
        <v>130</v>
      </c>
      <c r="O595">
        <v>3780</v>
      </c>
      <c r="P595">
        <v>189</v>
      </c>
      <c r="Q595">
        <v>3591</v>
      </c>
      <c r="R595">
        <v>2</v>
      </c>
      <c r="S595" s="15">
        <f t="shared" si="9"/>
        <v>46143</v>
      </c>
    </row>
    <row r="596" spans="1:19">
      <c r="A596" t="s">
        <v>672</v>
      </c>
      <c r="B596" s="2">
        <v>46169</v>
      </c>
      <c r="C596" t="s">
        <v>82</v>
      </c>
      <c r="D596" t="s">
        <v>83</v>
      </c>
      <c r="E596" t="s">
        <v>21</v>
      </c>
      <c r="F596" t="s">
        <v>31</v>
      </c>
      <c r="G596" t="s">
        <v>62</v>
      </c>
      <c r="H596" t="s">
        <v>33</v>
      </c>
      <c r="I596">
        <v>3</v>
      </c>
      <c r="J596">
        <v>1880</v>
      </c>
      <c r="K596">
        <v>0.03</v>
      </c>
      <c r="L596" t="s">
        <v>64</v>
      </c>
      <c r="M596" t="s">
        <v>50</v>
      </c>
      <c r="N596" t="s">
        <v>27</v>
      </c>
      <c r="O596">
        <v>5640</v>
      </c>
      <c r="P596">
        <v>169.2</v>
      </c>
      <c r="Q596">
        <v>5470.8</v>
      </c>
      <c r="R596">
        <v>5</v>
      </c>
      <c r="S596" s="15">
        <f t="shared" si="9"/>
        <v>46143</v>
      </c>
    </row>
    <row r="597" spans="1:19">
      <c r="A597" t="s">
        <v>673</v>
      </c>
      <c r="B597" s="2">
        <v>46170</v>
      </c>
      <c r="C597" t="s">
        <v>29</v>
      </c>
      <c r="D597" t="s">
        <v>30</v>
      </c>
      <c r="E597" t="s">
        <v>21</v>
      </c>
      <c r="F597" t="s">
        <v>22</v>
      </c>
      <c r="G597" t="s">
        <v>58</v>
      </c>
      <c r="H597" t="s">
        <v>59</v>
      </c>
      <c r="I597">
        <v>2</v>
      </c>
      <c r="J597">
        <v>6940</v>
      </c>
      <c r="K597">
        <v>0.05</v>
      </c>
      <c r="L597" t="s">
        <v>64</v>
      </c>
      <c r="M597" t="s">
        <v>35</v>
      </c>
      <c r="N597" t="s">
        <v>27</v>
      </c>
      <c r="O597">
        <v>13880</v>
      </c>
      <c r="P597">
        <v>694</v>
      </c>
      <c r="Q597">
        <v>13186</v>
      </c>
      <c r="R597">
        <v>4</v>
      </c>
      <c r="S597" s="15">
        <f t="shared" si="9"/>
        <v>46143</v>
      </c>
    </row>
    <row r="598" spans="1:19">
      <c r="A598" t="s">
        <v>674</v>
      </c>
      <c r="B598" s="2">
        <v>46170</v>
      </c>
      <c r="C598" t="s">
        <v>40</v>
      </c>
      <c r="D598" t="s">
        <v>47</v>
      </c>
      <c r="E598" t="s">
        <v>42</v>
      </c>
      <c r="F598" t="s">
        <v>53</v>
      </c>
      <c r="G598" t="s">
        <v>92</v>
      </c>
      <c r="H598" t="s">
        <v>24</v>
      </c>
      <c r="I598">
        <v>5</v>
      </c>
      <c r="J598">
        <v>17000</v>
      </c>
      <c r="K598">
        <v>0.08</v>
      </c>
      <c r="L598" t="s">
        <v>64</v>
      </c>
      <c r="M598" t="s">
        <v>26</v>
      </c>
      <c r="N598" t="s">
        <v>27</v>
      </c>
      <c r="O598">
        <v>85000</v>
      </c>
      <c r="P598">
        <v>6800</v>
      </c>
      <c r="Q598">
        <v>78200</v>
      </c>
      <c r="R598">
        <v>3</v>
      </c>
      <c r="S598" s="15">
        <f t="shared" si="9"/>
        <v>46143</v>
      </c>
    </row>
    <row r="599" spans="1:19">
      <c r="A599" t="s">
        <v>675</v>
      </c>
      <c r="B599" s="2">
        <v>46172</v>
      </c>
      <c r="C599" t="s">
        <v>40</v>
      </c>
      <c r="D599" t="s">
        <v>89</v>
      </c>
      <c r="E599" t="s">
        <v>21</v>
      </c>
      <c r="F599" t="s">
        <v>22</v>
      </c>
      <c r="G599" t="s">
        <v>73</v>
      </c>
      <c r="H599" t="s">
        <v>74</v>
      </c>
      <c r="I599">
        <v>4</v>
      </c>
      <c r="J599">
        <v>11290</v>
      </c>
      <c r="K599">
        <v>0.05</v>
      </c>
      <c r="L599" t="s">
        <v>64</v>
      </c>
      <c r="M599" t="s">
        <v>26</v>
      </c>
      <c r="N599" t="s">
        <v>27</v>
      </c>
      <c r="O599">
        <v>45160</v>
      </c>
      <c r="P599">
        <v>2258</v>
      </c>
      <c r="Q599">
        <v>42902</v>
      </c>
      <c r="R599">
        <v>5</v>
      </c>
      <c r="S599" s="15">
        <f t="shared" si="9"/>
        <v>46143</v>
      </c>
    </row>
    <row r="600" spans="1:19">
      <c r="A600" t="s">
        <v>676</v>
      </c>
      <c r="B600" s="2">
        <v>46172</v>
      </c>
      <c r="C600" t="s">
        <v>82</v>
      </c>
      <c r="D600" t="s">
        <v>122</v>
      </c>
      <c r="E600" t="s">
        <v>42</v>
      </c>
      <c r="F600" t="s">
        <v>53</v>
      </c>
      <c r="G600" t="s">
        <v>152</v>
      </c>
      <c r="H600" t="s">
        <v>74</v>
      </c>
      <c r="I600">
        <v>1</v>
      </c>
      <c r="J600">
        <v>14900</v>
      </c>
      <c r="K600">
        <v>0.03</v>
      </c>
      <c r="L600" t="s">
        <v>64</v>
      </c>
      <c r="M600" t="s">
        <v>66</v>
      </c>
      <c r="N600" t="s">
        <v>27</v>
      </c>
      <c r="O600">
        <v>14900</v>
      </c>
      <c r="P600">
        <v>447</v>
      </c>
      <c r="Q600">
        <v>14453</v>
      </c>
      <c r="R600">
        <v>4</v>
      </c>
      <c r="S600" s="15">
        <f t="shared" si="9"/>
        <v>46143</v>
      </c>
    </row>
    <row r="601" spans="1:19">
      <c r="A601" t="s">
        <v>677</v>
      </c>
      <c r="B601" s="2">
        <v>46172</v>
      </c>
      <c r="C601" t="s">
        <v>29</v>
      </c>
      <c r="D601" t="s">
        <v>78</v>
      </c>
      <c r="E601" t="s">
        <v>42</v>
      </c>
      <c r="F601" t="s">
        <v>22</v>
      </c>
      <c r="G601" t="s">
        <v>73</v>
      </c>
      <c r="H601" t="s">
        <v>74</v>
      </c>
      <c r="I601">
        <v>2</v>
      </c>
      <c r="J601">
        <v>12160</v>
      </c>
      <c r="K601">
        <v>0.03</v>
      </c>
      <c r="L601" t="s">
        <v>54</v>
      </c>
      <c r="M601" t="s">
        <v>35</v>
      </c>
      <c r="N601" t="s">
        <v>27</v>
      </c>
      <c r="O601">
        <v>24320</v>
      </c>
      <c r="P601">
        <v>729.6</v>
      </c>
      <c r="Q601">
        <v>23590.400000000001</v>
      </c>
      <c r="R601">
        <v>2</v>
      </c>
      <c r="S601" s="15">
        <f t="shared" si="9"/>
        <v>46143</v>
      </c>
    </row>
    <row r="602" spans="1:19">
      <c r="A602" t="s">
        <v>678</v>
      </c>
      <c r="B602" s="2">
        <v>46174</v>
      </c>
      <c r="C602" t="s">
        <v>19</v>
      </c>
      <c r="D602" t="s">
        <v>103</v>
      </c>
      <c r="E602" t="s">
        <v>21</v>
      </c>
      <c r="F602" t="s">
        <v>22</v>
      </c>
      <c r="G602" t="s">
        <v>58</v>
      </c>
      <c r="H602" t="s">
        <v>59</v>
      </c>
      <c r="I602">
        <v>1</v>
      </c>
      <c r="J602">
        <v>7520</v>
      </c>
      <c r="K602">
        <v>0.05</v>
      </c>
      <c r="L602" t="s">
        <v>64</v>
      </c>
      <c r="M602" t="s">
        <v>35</v>
      </c>
      <c r="N602" t="s">
        <v>27</v>
      </c>
      <c r="O602">
        <v>7520</v>
      </c>
      <c r="P602">
        <v>376</v>
      </c>
      <c r="Q602">
        <v>7144</v>
      </c>
      <c r="R602">
        <v>1</v>
      </c>
      <c r="S602" s="15">
        <f t="shared" si="9"/>
        <v>46174</v>
      </c>
    </row>
    <row r="603" spans="1:19">
      <c r="A603" t="s">
        <v>679</v>
      </c>
      <c r="B603" s="2">
        <v>46174</v>
      </c>
      <c r="C603" t="s">
        <v>19</v>
      </c>
      <c r="D603" t="s">
        <v>103</v>
      </c>
      <c r="E603" t="s">
        <v>21</v>
      </c>
      <c r="F603" t="s">
        <v>22</v>
      </c>
      <c r="G603" t="s">
        <v>105</v>
      </c>
      <c r="H603" t="s">
        <v>24</v>
      </c>
      <c r="I603">
        <v>2</v>
      </c>
      <c r="J603">
        <v>3110</v>
      </c>
      <c r="K603">
        <v>0.1</v>
      </c>
      <c r="L603" t="s">
        <v>64</v>
      </c>
      <c r="M603" t="s">
        <v>44</v>
      </c>
      <c r="N603" t="s">
        <v>27</v>
      </c>
      <c r="O603">
        <v>6220</v>
      </c>
      <c r="P603">
        <v>622</v>
      </c>
      <c r="Q603">
        <v>5598</v>
      </c>
      <c r="R603">
        <v>6</v>
      </c>
      <c r="S603" s="15">
        <f t="shared" si="9"/>
        <v>46174</v>
      </c>
    </row>
    <row r="604" spans="1:19">
      <c r="A604" t="s">
        <v>680</v>
      </c>
      <c r="B604" s="2">
        <v>46174</v>
      </c>
      <c r="C604" t="s">
        <v>29</v>
      </c>
      <c r="D604" t="s">
        <v>78</v>
      </c>
      <c r="E604" t="s">
        <v>42</v>
      </c>
      <c r="F604" t="s">
        <v>31</v>
      </c>
      <c r="G604" t="s">
        <v>152</v>
      </c>
      <c r="H604" t="s">
        <v>74</v>
      </c>
      <c r="I604">
        <v>1</v>
      </c>
      <c r="J604">
        <v>15400</v>
      </c>
      <c r="K604">
        <v>0.03</v>
      </c>
      <c r="L604" t="s">
        <v>64</v>
      </c>
      <c r="M604" t="s">
        <v>44</v>
      </c>
      <c r="N604" t="s">
        <v>27</v>
      </c>
      <c r="O604">
        <v>15400</v>
      </c>
      <c r="P604">
        <v>462</v>
      </c>
      <c r="Q604">
        <v>14938</v>
      </c>
      <c r="R604">
        <v>5</v>
      </c>
      <c r="S604" s="15">
        <f t="shared" si="9"/>
        <v>46174</v>
      </c>
    </row>
    <row r="605" spans="1:19">
      <c r="A605" t="s">
        <v>681</v>
      </c>
      <c r="B605" s="2">
        <v>46174</v>
      </c>
      <c r="C605" t="s">
        <v>29</v>
      </c>
      <c r="D605" t="s">
        <v>78</v>
      </c>
      <c r="E605" t="s">
        <v>42</v>
      </c>
      <c r="F605" t="s">
        <v>22</v>
      </c>
      <c r="G605" t="s">
        <v>62</v>
      </c>
      <c r="H605" t="s">
        <v>33</v>
      </c>
      <c r="I605">
        <v>5</v>
      </c>
      <c r="J605">
        <v>1890</v>
      </c>
      <c r="K605">
        <v>0.05</v>
      </c>
      <c r="L605" t="s">
        <v>68</v>
      </c>
      <c r="M605" t="s">
        <v>35</v>
      </c>
      <c r="N605" t="s">
        <v>27</v>
      </c>
      <c r="O605">
        <v>9450</v>
      </c>
      <c r="P605">
        <v>472.5</v>
      </c>
      <c r="Q605">
        <v>8977.5</v>
      </c>
      <c r="R605">
        <v>3</v>
      </c>
      <c r="S605" s="15">
        <f t="shared" si="9"/>
        <v>46174</v>
      </c>
    </row>
    <row r="606" spans="1:19">
      <c r="A606" t="s">
        <v>682</v>
      </c>
      <c r="B606" s="2">
        <v>46177</v>
      </c>
      <c r="C606" t="s">
        <v>40</v>
      </c>
      <c r="D606" t="s">
        <v>115</v>
      </c>
      <c r="E606" t="s">
        <v>21</v>
      </c>
      <c r="F606" t="s">
        <v>31</v>
      </c>
      <c r="G606" t="s">
        <v>73</v>
      </c>
      <c r="H606" t="s">
        <v>74</v>
      </c>
      <c r="I606">
        <v>2</v>
      </c>
      <c r="J606">
        <v>11660</v>
      </c>
      <c r="K606">
        <v>0.08</v>
      </c>
      <c r="L606" t="s">
        <v>64</v>
      </c>
      <c r="M606" t="s">
        <v>35</v>
      </c>
      <c r="N606" t="s">
        <v>27</v>
      </c>
      <c r="O606">
        <v>23320</v>
      </c>
      <c r="P606">
        <v>1865.6</v>
      </c>
      <c r="Q606">
        <v>21454.400000000001</v>
      </c>
      <c r="R606">
        <v>1</v>
      </c>
      <c r="S606" s="15">
        <f t="shared" si="9"/>
        <v>46174</v>
      </c>
    </row>
    <row r="607" spans="1:19">
      <c r="A607" t="s">
        <v>683</v>
      </c>
      <c r="B607" s="2">
        <v>46177</v>
      </c>
      <c r="C607" t="s">
        <v>82</v>
      </c>
      <c r="D607" t="s">
        <v>122</v>
      </c>
      <c r="E607" t="s">
        <v>70</v>
      </c>
      <c r="F607" t="s">
        <v>22</v>
      </c>
      <c r="G607" t="s">
        <v>62</v>
      </c>
      <c r="H607" t="s">
        <v>33</v>
      </c>
      <c r="I607">
        <v>4</v>
      </c>
      <c r="J607">
        <v>1750</v>
      </c>
      <c r="K607">
        <v>0.03</v>
      </c>
      <c r="L607" t="s">
        <v>54</v>
      </c>
      <c r="M607" t="s">
        <v>44</v>
      </c>
      <c r="N607" t="s">
        <v>27</v>
      </c>
      <c r="O607">
        <v>7000</v>
      </c>
      <c r="P607">
        <v>210</v>
      </c>
      <c r="Q607">
        <v>6790</v>
      </c>
      <c r="R607">
        <v>2</v>
      </c>
      <c r="S607" s="15">
        <f t="shared" si="9"/>
        <v>46174</v>
      </c>
    </row>
    <row r="608" spans="1:19">
      <c r="A608" t="s">
        <v>684</v>
      </c>
      <c r="B608" s="2">
        <v>46177</v>
      </c>
      <c r="C608" t="s">
        <v>40</v>
      </c>
      <c r="D608" t="s">
        <v>115</v>
      </c>
      <c r="E608" t="s">
        <v>70</v>
      </c>
      <c r="F608" t="s">
        <v>22</v>
      </c>
      <c r="G608" t="s">
        <v>62</v>
      </c>
      <c r="H608" t="s">
        <v>33</v>
      </c>
      <c r="I608">
        <v>4</v>
      </c>
      <c r="J608">
        <v>1850</v>
      </c>
      <c r="K608">
        <v>0.05</v>
      </c>
      <c r="L608" t="s">
        <v>68</v>
      </c>
      <c r="M608" t="s">
        <v>50</v>
      </c>
      <c r="N608" t="s">
        <v>130</v>
      </c>
      <c r="O608">
        <v>7400</v>
      </c>
      <c r="P608">
        <v>370</v>
      </c>
      <c r="Q608">
        <v>7030</v>
      </c>
      <c r="R608">
        <v>3</v>
      </c>
      <c r="S608" s="15">
        <f t="shared" si="9"/>
        <v>46174</v>
      </c>
    </row>
    <row r="609" spans="1:19">
      <c r="A609" t="s">
        <v>685</v>
      </c>
      <c r="B609" s="2">
        <v>46177</v>
      </c>
      <c r="C609" t="s">
        <v>29</v>
      </c>
      <c r="D609" t="s">
        <v>78</v>
      </c>
      <c r="E609" t="s">
        <v>42</v>
      </c>
      <c r="F609" t="s">
        <v>22</v>
      </c>
      <c r="G609" t="s">
        <v>92</v>
      </c>
      <c r="H609" t="s">
        <v>24</v>
      </c>
      <c r="I609">
        <v>1</v>
      </c>
      <c r="J609">
        <v>15360</v>
      </c>
      <c r="K609">
        <v>0.15</v>
      </c>
      <c r="L609" t="s">
        <v>34</v>
      </c>
      <c r="M609" t="s">
        <v>55</v>
      </c>
      <c r="N609" t="s">
        <v>27</v>
      </c>
      <c r="O609">
        <v>15360</v>
      </c>
      <c r="P609">
        <v>2304</v>
      </c>
      <c r="Q609">
        <v>13056</v>
      </c>
      <c r="R609">
        <v>5</v>
      </c>
      <c r="S609" s="15">
        <f t="shared" si="9"/>
        <v>46174</v>
      </c>
    </row>
    <row r="610" spans="1:19">
      <c r="A610" t="s">
        <v>686</v>
      </c>
      <c r="B610" s="2">
        <v>46178</v>
      </c>
      <c r="C610" t="s">
        <v>29</v>
      </c>
      <c r="D610" t="s">
        <v>78</v>
      </c>
      <c r="E610" t="s">
        <v>21</v>
      </c>
      <c r="F610" t="s">
        <v>22</v>
      </c>
      <c r="G610" t="s">
        <v>58</v>
      </c>
      <c r="H610" t="s">
        <v>59</v>
      </c>
      <c r="I610">
        <v>1</v>
      </c>
      <c r="J610">
        <v>6970</v>
      </c>
      <c r="K610">
        <v>0.03</v>
      </c>
      <c r="L610" t="s">
        <v>64</v>
      </c>
      <c r="M610" t="s">
        <v>35</v>
      </c>
      <c r="N610" t="s">
        <v>27</v>
      </c>
      <c r="O610">
        <v>6970</v>
      </c>
      <c r="P610">
        <v>209.1</v>
      </c>
      <c r="Q610">
        <v>6760.9</v>
      </c>
      <c r="R610">
        <v>4</v>
      </c>
      <c r="S610" s="15">
        <f t="shared" si="9"/>
        <v>46174</v>
      </c>
    </row>
    <row r="611" spans="1:19">
      <c r="A611" t="s">
        <v>687</v>
      </c>
      <c r="B611" s="2">
        <v>46178</v>
      </c>
      <c r="C611" t="s">
        <v>40</v>
      </c>
      <c r="D611" t="s">
        <v>115</v>
      </c>
      <c r="E611" t="s">
        <v>42</v>
      </c>
      <c r="F611" t="s">
        <v>31</v>
      </c>
      <c r="G611" t="s">
        <v>62</v>
      </c>
      <c r="H611" t="s">
        <v>33</v>
      </c>
      <c r="I611">
        <v>2</v>
      </c>
      <c r="J611">
        <v>1890</v>
      </c>
      <c r="K611">
        <v>0.08</v>
      </c>
      <c r="L611" t="s">
        <v>54</v>
      </c>
      <c r="M611" t="s">
        <v>44</v>
      </c>
      <c r="N611" t="s">
        <v>27</v>
      </c>
      <c r="O611">
        <v>3780</v>
      </c>
      <c r="P611">
        <v>302.39999999999998</v>
      </c>
      <c r="Q611">
        <v>3477.6</v>
      </c>
      <c r="R611">
        <v>6</v>
      </c>
      <c r="S611" s="15">
        <f t="shared" si="9"/>
        <v>46174</v>
      </c>
    </row>
    <row r="612" spans="1:19">
      <c r="A612" t="s">
        <v>688</v>
      </c>
      <c r="B612" s="2">
        <v>46179</v>
      </c>
      <c r="C612" t="s">
        <v>19</v>
      </c>
      <c r="D612" t="s">
        <v>20</v>
      </c>
      <c r="E612" t="s">
        <v>42</v>
      </c>
      <c r="F612" t="s">
        <v>22</v>
      </c>
      <c r="G612" t="s">
        <v>58</v>
      </c>
      <c r="H612" t="s">
        <v>59</v>
      </c>
      <c r="I612">
        <v>2</v>
      </c>
      <c r="J612">
        <v>7120</v>
      </c>
      <c r="K612">
        <v>0.03</v>
      </c>
      <c r="L612" t="s">
        <v>54</v>
      </c>
      <c r="M612" t="s">
        <v>26</v>
      </c>
      <c r="N612" t="s">
        <v>27</v>
      </c>
      <c r="O612">
        <v>14240</v>
      </c>
      <c r="P612">
        <v>427.2</v>
      </c>
      <c r="Q612">
        <v>13812.8</v>
      </c>
      <c r="R612">
        <v>3</v>
      </c>
      <c r="S612" s="15">
        <f t="shared" si="9"/>
        <v>46174</v>
      </c>
    </row>
    <row r="613" spans="1:19">
      <c r="A613" t="s">
        <v>689</v>
      </c>
      <c r="B613" s="2">
        <v>46179</v>
      </c>
      <c r="C613" t="s">
        <v>29</v>
      </c>
      <c r="D613" t="s">
        <v>85</v>
      </c>
      <c r="E613" t="s">
        <v>70</v>
      </c>
      <c r="F613" t="s">
        <v>22</v>
      </c>
      <c r="G613" t="s">
        <v>95</v>
      </c>
      <c r="H613" t="s">
        <v>24</v>
      </c>
      <c r="I613">
        <v>1</v>
      </c>
      <c r="J613">
        <v>22700</v>
      </c>
      <c r="K613">
        <v>0</v>
      </c>
      <c r="L613" t="s">
        <v>54</v>
      </c>
      <c r="M613" t="s">
        <v>26</v>
      </c>
      <c r="N613" t="s">
        <v>27</v>
      </c>
      <c r="O613">
        <v>22700</v>
      </c>
      <c r="P613">
        <v>0</v>
      </c>
      <c r="Q613">
        <v>22700</v>
      </c>
      <c r="R613">
        <v>3</v>
      </c>
      <c r="S613" s="15">
        <f t="shared" si="9"/>
        <v>46174</v>
      </c>
    </row>
    <row r="614" spans="1:19">
      <c r="A614" t="s">
        <v>690</v>
      </c>
      <c r="B614" s="2">
        <v>46179</v>
      </c>
      <c r="C614" t="s">
        <v>29</v>
      </c>
      <c r="D614" t="s">
        <v>61</v>
      </c>
      <c r="E614" t="s">
        <v>42</v>
      </c>
      <c r="F614" t="s">
        <v>22</v>
      </c>
      <c r="G614" t="s">
        <v>95</v>
      </c>
      <c r="H614" t="s">
        <v>24</v>
      </c>
      <c r="I614">
        <v>2</v>
      </c>
      <c r="J614">
        <v>22620</v>
      </c>
      <c r="K614">
        <v>0.05</v>
      </c>
      <c r="L614" t="s">
        <v>64</v>
      </c>
      <c r="M614" t="s">
        <v>66</v>
      </c>
      <c r="N614" t="s">
        <v>27</v>
      </c>
      <c r="O614">
        <v>45240</v>
      </c>
      <c r="P614">
        <v>2262</v>
      </c>
      <c r="Q614">
        <v>42978</v>
      </c>
      <c r="R614">
        <v>3</v>
      </c>
      <c r="S614" s="15">
        <f t="shared" si="9"/>
        <v>46174</v>
      </c>
    </row>
    <row r="615" spans="1:19">
      <c r="A615" t="s">
        <v>691</v>
      </c>
      <c r="B615" s="2">
        <v>46179</v>
      </c>
      <c r="C615" t="s">
        <v>40</v>
      </c>
      <c r="D615" t="s">
        <v>47</v>
      </c>
      <c r="E615" t="s">
        <v>21</v>
      </c>
      <c r="F615" t="s">
        <v>22</v>
      </c>
      <c r="G615" t="s">
        <v>37</v>
      </c>
      <c r="H615" t="s">
        <v>24</v>
      </c>
      <c r="I615">
        <v>1</v>
      </c>
      <c r="J615">
        <v>60250</v>
      </c>
      <c r="K615">
        <v>0.08</v>
      </c>
      <c r="L615" t="s">
        <v>68</v>
      </c>
      <c r="M615" t="s">
        <v>44</v>
      </c>
      <c r="N615" t="s">
        <v>27</v>
      </c>
      <c r="O615">
        <v>60250</v>
      </c>
      <c r="P615">
        <v>4820</v>
      </c>
      <c r="Q615">
        <v>55430</v>
      </c>
      <c r="R615">
        <v>3</v>
      </c>
      <c r="S615" s="15">
        <f t="shared" si="9"/>
        <v>46174</v>
      </c>
    </row>
    <row r="616" spans="1:19">
      <c r="A616" t="s">
        <v>692</v>
      </c>
      <c r="B616" s="2">
        <v>46180</v>
      </c>
      <c r="C616" t="s">
        <v>40</v>
      </c>
      <c r="D616" t="s">
        <v>47</v>
      </c>
      <c r="E616" t="s">
        <v>70</v>
      </c>
      <c r="F616" t="s">
        <v>22</v>
      </c>
      <c r="G616" t="s">
        <v>62</v>
      </c>
      <c r="H616" t="s">
        <v>33</v>
      </c>
      <c r="I616">
        <v>1</v>
      </c>
      <c r="J616">
        <v>1780</v>
      </c>
      <c r="K616">
        <v>0.03</v>
      </c>
      <c r="L616" t="s">
        <v>25</v>
      </c>
      <c r="M616" t="s">
        <v>50</v>
      </c>
      <c r="N616" t="s">
        <v>27</v>
      </c>
      <c r="O616">
        <v>1780</v>
      </c>
      <c r="P616">
        <v>53.4</v>
      </c>
      <c r="Q616">
        <v>1726.6</v>
      </c>
      <c r="R616">
        <v>5</v>
      </c>
      <c r="S616" s="15">
        <f t="shared" si="9"/>
        <v>46174</v>
      </c>
    </row>
    <row r="617" spans="1:19">
      <c r="A617" t="s">
        <v>693</v>
      </c>
      <c r="B617" s="2">
        <v>46181</v>
      </c>
      <c r="C617" t="s">
        <v>40</v>
      </c>
      <c r="D617" t="s">
        <v>89</v>
      </c>
      <c r="E617" t="s">
        <v>21</v>
      </c>
      <c r="F617" t="s">
        <v>31</v>
      </c>
      <c r="G617" t="s">
        <v>73</v>
      </c>
      <c r="H617" t="s">
        <v>74</v>
      </c>
      <c r="I617">
        <v>2</v>
      </c>
      <c r="J617">
        <v>11950</v>
      </c>
      <c r="K617">
        <v>0</v>
      </c>
      <c r="L617" t="s">
        <v>64</v>
      </c>
      <c r="M617" t="s">
        <v>26</v>
      </c>
      <c r="N617" t="s">
        <v>27</v>
      </c>
      <c r="O617">
        <v>23900</v>
      </c>
      <c r="P617">
        <v>0</v>
      </c>
      <c r="Q617">
        <v>23900</v>
      </c>
      <c r="R617">
        <v>6</v>
      </c>
      <c r="S617" s="15">
        <f t="shared" si="9"/>
        <v>46174</v>
      </c>
    </row>
    <row r="618" spans="1:19">
      <c r="A618" t="s">
        <v>694</v>
      </c>
      <c r="B618" s="2">
        <v>46181</v>
      </c>
      <c r="C618" t="s">
        <v>19</v>
      </c>
      <c r="D618" t="s">
        <v>52</v>
      </c>
      <c r="E618" t="s">
        <v>42</v>
      </c>
      <c r="F618" t="s">
        <v>22</v>
      </c>
      <c r="G618" t="s">
        <v>92</v>
      </c>
      <c r="H618" t="s">
        <v>24</v>
      </c>
      <c r="I618">
        <v>1</v>
      </c>
      <c r="J618">
        <v>15990</v>
      </c>
      <c r="K618">
        <v>0.08</v>
      </c>
      <c r="L618" t="s">
        <v>64</v>
      </c>
      <c r="M618" t="s">
        <v>44</v>
      </c>
      <c r="N618" t="s">
        <v>27</v>
      </c>
      <c r="O618">
        <v>15990</v>
      </c>
      <c r="P618">
        <v>1279.2</v>
      </c>
      <c r="Q618">
        <v>14710.8</v>
      </c>
      <c r="R618">
        <v>5</v>
      </c>
      <c r="S618" s="15">
        <f t="shared" si="9"/>
        <v>46174</v>
      </c>
    </row>
    <row r="619" spans="1:19">
      <c r="A619" t="s">
        <v>695</v>
      </c>
      <c r="B619" s="2">
        <v>46182</v>
      </c>
      <c r="C619" t="s">
        <v>82</v>
      </c>
      <c r="D619" t="s">
        <v>178</v>
      </c>
      <c r="E619" t="s">
        <v>42</v>
      </c>
      <c r="F619" t="s">
        <v>22</v>
      </c>
      <c r="G619" t="s">
        <v>23</v>
      </c>
      <c r="H619" t="s">
        <v>24</v>
      </c>
      <c r="I619">
        <v>1</v>
      </c>
      <c r="J619">
        <v>27190</v>
      </c>
      <c r="K619">
        <v>0</v>
      </c>
      <c r="L619" t="s">
        <v>34</v>
      </c>
      <c r="M619" t="s">
        <v>71</v>
      </c>
      <c r="N619" t="s">
        <v>27</v>
      </c>
      <c r="O619">
        <v>27190</v>
      </c>
      <c r="P619">
        <v>0</v>
      </c>
      <c r="Q619">
        <v>27190</v>
      </c>
      <c r="R619">
        <v>6</v>
      </c>
      <c r="S619" s="15">
        <f t="shared" si="9"/>
        <v>46174</v>
      </c>
    </row>
    <row r="620" spans="1:19">
      <c r="A620" t="s">
        <v>696</v>
      </c>
      <c r="B620" s="2">
        <v>46182</v>
      </c>
      <c r="C620" t="s">
        <v>19</v>
      </c>
      <c r="D620" t="s">
        <v>57</v>
      </c>
      <c r="E620" t="s">
        <v>70</v>
      </c>
      <c r="F620" t="s">
        <v>53</v>
      </c>
      <c r="G620" t="s">
        <v>149</v>
      </c>
      <c r="H620" t="s">
        <v>33</v>
      </c>
      <c r="I620">
        <v>1</v>
      </c>
      <c r="J620">
        <v>3410</v>
      </c>
      <c r="K620">
        <v>0</v>
      </c>
      <c r="L620" t="s">
        <v>25</v>
      </c>
      <c r="M620" t="s">
        <v>55</v>
      </c>
      <c r="N620" t="s">
        <v>27</v>
      </c>
      <c r="O620">
        <v>3410</v>
      </c>
      <c r="P620">
        <v>0</v>
      </c>
      <c r="Q620">
        <v>3410</v>
      </c>
      <c r="R620">
        <v>5</v>
      </c>
      <c r="S620" s="15">
        <f t="shared" si="9"/>
        <v>46174</v>
      </c>
    </row>
    <row r="621" spans="1:19">
      <c r="A621" t="s">
        <v>697</v>
      </c>
      <c r="B621" s="2">
        <v>46182</v>
      </c>
      <c r="C621" t="s">
        <v>29</v>
      </c>
      <c r="D621" t="s">
        <v>78</v>
      </c>
      <c r="E621" t="s">
        <v>21</v>
      </c>
      <c r="F621" t="s">
        <v>22</v>
      </c>
      <c r="G621" t="s">
        <v>95</v>
      </c>
      <c r="H621" t="s">
        <v>24</v>
      </c>
      <c r="I621">
        <v>5</v>
      </c>
      <c r="J621">
        <v>21050</v>
      </c>
      <c r="K621">
        <v>0</v>
      </c>
      <c r="L621" t="s">
        <v>54</v>
      </c>
      <c r="M621" t="s">
        <v>26</v>
      </c>
      <c r="N621" t="s">
        <v>27</v>
      </c>
      <c r="O621">
        <v>105250</v>
      </c>
      <c r="P621">
        <v>0</v>
      </c>
      <c r="Q621">
        <v>105250</v>
      </c>
      <c r="R621">
        <v>4</v>
      </c>
      <c r="S621" s="15">
        <f t="shared" si="9"/>
        <v>46174</v>
      </c>
    </row>
    <row r="622" spans="1:19">
      <c r="A622" t="s">
        <v>698</v>
      </c>
      <c r="B622" s="2">
        <v>46183</v>
      </c>
      <c r="C622" t="s">
        <v>82</v>
      </c>
      <c r="D622" t="s">
        <v>122</v>
      </c>
      <c r="E622" t="s">
        <v>70</v>
      </c>
      <c r="F622" t="s">
        <v>22</v>
      </c>
      <c r="G622" t="s">
        <v>149</v>
      </c>
      <c r="H622" t="s">
        <v>33</v>
      </c>
      <c r="I622">
        <v>1</v>
      </c>
      <c r="J622">
        <v>3820</v>
      </c>
      <c r="K622">
        <v>0.03</v>
      </c>
      <c r="L622" t="s">
        <v>25</v>
      </c>
      <c r="M622" t="s">
        <v>35</v>
      </c>
      <c r="N622" t="s">
        <v>27</v>
      </c>
      <c r="O622">
        <v>3820</v>
      </c>
      <c r="P622">
        <v>114.6</v>
      </c>
      <c r="Q622">
        <v>3705.4</v>
      </c>
      <c r="R622">
        <v>5</v>
      </c>
      <c r="S622" s="15">
        <f t="shared" si="9"/>
        <v>46174</v>
      </c>
    </row>
    <row r="623" spans="1:19">
      <c r="A623" t="s">
        <v>699</v>
      </c>
      <c r="B623" s="2">
        <v>46183</v>
      </c>
      <c r="C623" t="s">
        <v>29</v>
      </c>
      <c r="D623" t="s">
        <v>30</v>
      </c>
      <c r="E623" t="s">
        <v>21</v>
      </c>
      <c r="F623" t="s">
        <v>22</v>
      </c>
      <c r="G623" t="s">
        <v>32</v>
      </c>
      <c r="H623" t="s">
        <v>33</v>
      </c>
      <c r="I623">
        <v>4</v>
      </c>
      <c r="J623">
        <v>2440</v>
      </c>
      <c r="K623">
        <v>0.15</v>
      </c>
      <c r="L623" t="s">
        <v>25</v>
      </c>
      <c r="M623" t="s">
        <v>71</v>
      </c>
      <c r="N623" t="s">
        <v>27</v>
      </c>
      <c r="O623">
        <v>9760</v>
      </c>
      <c r="P623">
        <v>1464</v>
      </c>
      <c r="Q623">
        <v>8296</v>
      </c>
      <c r="R623">
        <v>3</v>
      </c>
      <c r="S623" s="15">
        <f t="shared" si="9"/>
        <v>46174</v>
      </c>
    </row>
    <row r="624" spans="1:19">
      <c r="A624" t="s">
        <v>700</v>
      </c>
      <c r="B624" s="2">
        <v>46184</v>
      </c>
      <c r="C624" t="s">
        <v>29</v>
      </c>
      <c r="D624" t="s">
        <v>85</v>
      </c>
      <c r="E624" t="s">
        <v>70</v>
      </c>
      <c r="F624" t="s">
        <v>22</v>
      </c>
      <c r="G624" t="s">
        <v>43</v>
      </c>
      <c r="H624" t="s">
        <v>33</v>
      </c>
      <c r="I624">
        <v>2</v>
      </c>
      <c r="J624">
        <v>990</v>
      </c>
      <c r="K624">
        <v>0.1</v>
      </c>
      <c r="L624" t="s">
        <v>68</v>
      </c>
      <c r="M624" t="s">
        <v>44</v>
      </c>
      <c r="N624" t="s">
        <v>27</v>
      </c>
      <c r="O624">
        <v>1980</v>
      </c>
      <c r="P624">
        <v>198</v>
      </c>
      <c r="Q624">
        <v>1782</v>
      </c>
      <c r="R624">
        <v>4</v>
      </c>
      <c r="S624" s="15">
        <f t="shared" si="9"/>
        <v>46174</v>
      </c>
    </row>
    <row r="625" spans="1:19">
      <c r="A625" t="s">
        <v>701</v>
      </c>
      <c r="B625" s="2">
        <v>46184</v>
      </c>
      <c r="C625" t="s">
        <v>40</v>
      </c>
      <c r="D625" t="s">
        <v>89</v>
      </c>
      <c r="E625" t="s">
        <v>21</v>
      </c>
      <c r="F625" t="s">
        <v>31</v>
      </c>
      <c r="G625" t="s">
        <v>58</v>
      </c>
      <c r="H625" t="s">
        <v>59</v>
      </c>
      <c r="I625">
        <v>5</v>
      </c>
      <c r="J625">
        <v>6730</v>
      </c>
      <c r="K625">
        <v>0.05</v>
      </c>
      <c r="L625" t="s">
        <v>54</v>
      </c>
      <c r="M625" t="s">
        <v>35</v>
      </c>
      <c r="N625" t="s">
        <v>27</v>
      </c>
      <c r="O625">
        <v>33650</v>
      </c>
      <c r="P625">
        <v>1682.5</v>
      </c>
      <c r="Q625">
        <v>31967.5</v>
      </c>
      <c r="R625">
        <v>3</v>
      </c>
      <c r="S625" s="15">
        <f t="shared" si="9"/>
        <v>46174</v>
      </c>
    </row>
    <row r="626" spans="1:19">
      <c r="A626" t="s">
        <v>702</v>
      </c>
      <c r="B626" s="2">
        <v>46184</v>
      </c>
      <c r="C626" t="s">
        <v>19</v>
      </c>
      <c r="D626" t="s">
        <v>103</v>
      </c>
      <c r="E626" t="s">
        <v>42</v>
      </c>
      <c r="F626" t="s">
        <v>22</v>
      </c>
      <c r="G626" t="s">
        <v>105</v>
      </c>
      <c r="H626" t="s">
        <v>24</v>
      </c>
      <c r="I626">
        <v>2</v>
      </c>
      <c r="J626">
        <v>3120</v>
      </c>
      <c r="K626">
        <v>0.1</v>
      </c>
      <c r="L626" t="s">
        <v>34</v>
      </c>
      <c r="M626" t="s">
        <v>38</v>
      </c>
      <c r="N626" t="s">
        <v>27</v>
      </c>
      <c r="O626">
        <v>6240</v>
      </c>
      <c r="P626">
        <v>624</v>
      </c>
      <c r="Q626">
        <v>5616</v>
      </c>
      <c r="R626">
        <v>2</v>
      </c>
      <c r="S626" s="15">
        <f t="shared" si="9"/>
        <v>46174</v>
      </c>
    </row>
    <row r="627" spans="1:19">
      <c r="A627" t="s">
        <v>703</v>
      </c>
      <c r="B627" s="2">
        <v>46184</v>
      </c>
      <c r="C627" t="s">
        <v>40</v>
      </c>
      <c r="D627" t="s">
        <v>89</v>
      </c>
      <c r="E627" t="s">
        <v>42</v>
      </c>
      <c r="F627" t="s">
        <v>22</v>
      </c>
      <c r="G627" t="s">
        <v>58</v>
      </c>
      <c r="H627" t="s">
        <v>59</v>
      </c>
      <c r="I627">
        <v>3</v>
      </c>
      <c r="J627">
        <v>7640</v>
      </c>
      <c r="K627">
        <v>0</v>
      </c>
      <c r="L627" t="s">
        <v>64</v>
      </c>
      <c r="M627" t="s">
        <v>71</v>
      </c>
      <c r="N627" t="s">
        <v>45</v>
      </c>
      <c r="O627">
        <v>0</v>
      </c>
      <c r="P627">
        <v>0</v>
      </c>
      <c r="Q627">
        <v>0</v>
      </c>
      <c r="S627" s="15">
        <f t="shared" si="9"/>
        <v>46174</v>
      </c>
    </row>
    <row r="628" spans="1:19">
      <c r="A628" t="s">
        <v>704</v>
      </c>
      <c r="B628" s="2">
        <v>46185</v>
      </c>
      <c r="C628" t="s">
        <v>82</v>
      </c>
      <c r="D628" t="s">
        <v>178</v>
      </c>
      <c r="E628" t="s">
        <v>70</v>
      </c>
      <c r="F628" t="s">
        <v>31</v>
      </c>
      <c r="G628" t="s">
        <v>152</v>
      </c>
      <c r="H628" t="s">
        <v>74</v>
      </c>
      <c r="I628">
        <v>3</v>
      </c>
      <c r="J628">
        <v>14910</v>
      </c>
      <c r="K628">
        <v>0.08</v>
      </c>
      <c r="L628" t="s">
        <v>54</v>
      </c>
      <c r="M628" t="s">
        <v>50</v>
      </c>
      <c r="N628" t="s">
        <v>27</v>
      </c>
      <c r="O628">
        <v>44730</v>
      </c>
      <c r="P628">
        <v>3578.4</v>
      </c>
      <c r="Q628">
        <v>41151.599999999999</v>
      </c>
      <c r="R628">
        <v>4</v>
      </c>
      <c r="S628" s="15">
        <f t="shared" si="9"/>
        <v>46174</v>
      </c>
    </row>
    <row r="629" spans="1:19">
      <c r="A629" t="s">
        <v>705</v>
      </c>
      <c r="B629" s="2">
        <v>46186</v>
      </c>
      <c r="C629" t="s">
        <v>29</v>
      </c>
      <c r="D629" t="s">
        <v>85</v>
      </c>
      <c r="E629" t="s">
        <v>42</v>
      </c>
      <c r="F629" t="s">
        <v>31</v>
      </c>
      <c r="G629" t="s">
        <v>62</v>
      </c>
      <c r="H629" t="s">
        <v>33</v>
      </c>
      <c r="I629">
        <v>2</v>
      </c>
      <c r="J629">
        <v>1840</v>
      </c>
      <c r="K629">
        <v>0.08</v>
      </c>
      <c r="L629" t="s">
        <v>64</v>
      </c>
      <c r="M629" t="s">
        <v>55</v>
      </c>
      <c r="N629" t="s">
        <v>27</v>
      </c>
      <c r="O629">
        <v>3680</v>
      </c>
      <c r="P629">
        <v>294.39999999999998</v>
      </c>
      <c r="Q629">
        <v>3385.6</v>
      </c>
      <c r="R629">
        <v>4</v>
      </c>
      <c r="S629" s="15">
        <f t="shared" si="9"/>
        <v>46174</v>
      </c>
    </row>
    <row r="630" spans="1:19">
      <c r="A630" t="s">
        <v>706</v>
      </c>
      <c r="B630" s="2">
        <v>46186</v>
      </c>
      <c r="C630" t="s">
        <v>40</v>
      </c>
      <c r="D630" t="s">
        <v>47</v>
      </c>
      <c r="E630" t="s">
        <v>70</v>
      </c>
      <c r="F630" t="s">
        <v>22</v>
      </c>
      <c r="G630" t="s">
        <v>152</v>
      </c>
      <c r="H630" t="s">
        <v>74</v>
      </c>
      <c r="I630">
        <v>1</v>
      </c>
      <c r="J630">
        <v>14900</v>
      </c>
      <c r="K630">
        <v>0.08</v>
      </c>
      <c r="L630" t="s">
        <v>64</v>
      </c>
      <c r="M630" t="s">
        <v>35</v>
      </c>
      <c r="N630" t="s">
        <v>27</v>
      </c>
      <c r="O630">
        <v>14900</v>
      </c>
      <c r="P630">
        <v>1192</v>
      </c>
      <c r="Q630">
        <v>13708</v>
      </c>
      <c r="R630">
        <v>4</v>
      </c>
      <c r="S630" s="15">
        <f t="shared" si="9"/>
        <v>46174</v>
      </c>
    </row>
    <row r="631" spans="1:19">
      <c r="A631" t="s">
        <v>707</v>
      </c>
      <c r="B631" s="2">
        <v>46187</v>
      </c>
      <c r="C631" t="s">
        <v>40</v>
      </c>
      <c r="D631" t="s">
        <v>47</v>
      </c>
      <c r="E631" t="s">
        <v>42</v>
      </c>
      <c r="F631" t="s">
        <v>22</v>
      </c>
      <c r="G631" t="s">
        <v>149</v>
      </c>
      <c r="H631" t="s">
        <v>33</v>
      </c>
      <c r="I631">
        <v>3</v>
      </c>
      <c r="J631">
        <v>3480</v>
      </c>
      <c r="K631">
        <v>0</v>
      </c>
      <c r="L631" t="s">
        <v>68</v>
      </c>
      <c r="M631" t="s">
        <v>50</v>
      </c>
      <c r="N631" t="s">
        <v>27</v>
      </c>
      <c r="O631">
        <v>10440</v>
      </c>
      <c r="P631">
        <v>0</v>
      </c>
      <c r="Q631">
        <v>10440</v>
      </c>
      <c r="R631">
        <v>4</v>
      </c>
      <c r="S631" s="15">
        <f t="shared" si="9"/>
        <v>46174</v>
      </c>
    </row>
    <row r="632" spans="1:19">
      <c r="A632" t="s">
        <v>708</v>
      </c>
      <c r="B632" s="2">
        <v>46188</v>
      </c>
      <c r="C632" t="s">
        <v>40</v>
      </c>
      <c r="D632" t="s">
        <v>115</v>
      </c>
      <c r="E632" t="s">
        <v>42</v>
      </c>
      <c r="F632" t="s">
        <v>22</v>
      </c>
      <c r="G632" t="s">
        <v>95</v>
      </c>
      <c r="H632" t="s">
        <v>24</v>
      </c>
      <c r="I632">
        <v>2</v>
      </c>
      <c r="J632">
        <v>20550</v>
      </c>
      <c r="K632">
        <v>0.1</v>
      </c>
      <c r="L632" t="s">
        <v>25</v>
      </c>
      <c r="M632" t="s">
        <v>71</v>
      </c>
      <c r="N632" t="s">
        <v>27</v>
      </c>
      <c r="O632">
        <v>41100</v>
      </c>
      <c r="P632">
        <v>4110</v>
      </c>
      <c r="Q632">
        <v>36990</v>
      </c>
      <c r="R632">
        <v>4</v>
      </c>
      <c r="S632" s="15">
        <f t="shared" si="9"/>
        <v>46174</v>
      </c>
    </row>
    <row r="633" spans="1:19">
      <c r="A633" t="s">
        <v>709</v>
      </c>
      <c r="B633" s="2">
        <v>46188</v>
      </c>
      <c r="C633" t="s">
        <v>40</v>
      </c>
      <c r="D633" t="s">
        <v>41</v>
      </c>
      <c r="E633" t="s">
        <v>42</v>
      </c>
      <c r="F633" t="s">
        <v>22</v>
      </c>
      <c r="G633" t="s">
        <v>37</v>
      </c>
      <c r="H633" t="s">
        <v>24</v>
      </c>
      <c r="I633">
        <v>2</v>
      </c>
      <c r="J633">
        <v>62280</v>
      </c>
      <c r="K633">
        <v>0.05</v>
      </c>
      <c r="L633" t="s">
        <v>64</v>
      </c>
      <c r="M633" t="s">
        <v>55</v>
      </c>
      <c r="N633" t="s">
        <v>27</v>
      </c>
      <c r="O633">
        <v>124560</v>
      </c>
      <c r="P633">
        <v>6228</v>
      </c>
      <c r="Q633">
        <v>118332</v>
      </c>
      <c r="R633">
        <v>4</v>
      </c>
      <c r="S633" s="15">
        <f t="shared" si="9"/>
        <v>46174</v>
      </c>
    </row>
    <row r="634" spans="1:19">
      <c r="A634" t="s">
        <v>710</v>
      </c>
      <c r="B634" s="2">
        <v>46190</v>
      </c>
      <c r="C634" t="s">
        <v>40</v>
      </c>
      <c r="D634" t="s">
        <v>115</v>
      </c>
      <c r="E634" t="s">
        <v>21</v>
      </c>
      <c r="F634" t="s">
        <v>22</v>
      </c>
      <c r="G634" t="s">
        <v>23</v>
      </c>
      <c r="H634" t="s">
        <v>24</v>
      </c>
      <c r="I634">
        <v>2</v>
      </c>
      <c r="J634">
        <v>26120</v>
      </c>
      <c r="K634">
        <v>0.05</v>
      </c>
      <c r="L634" t="s">
        <v>25</v>
      </c>
      <c r="M634" t="s">
        <v>66</v>
      </c>
      <c r="N634" t="s">
        <v>27</v>
      </c>
      <c r="O634">
        <v>52240</v>
      </c>
      <c r="P634">
        <v>2612</v>
      </c>
      <c r="Q634">
        <v>49628</v>
      </c>
      <c r="R634">
        <v>3</v>
      </c>
      <c r="S634" s="15">
        <f t="shared" si="9"/>
        <v>46174</v>
      </c>
    </row>
    <row r="635" spans="1:19">
      <c r="A635" t="s">
        <v>711</v>
      </c>
      <c r="B635" s="2">
        <v>46190</v>
      </c>
      <c r="C635" t="s">
        <v>40</v>
      </c>
      <c r="D635" t="s">
        <v>115</v>
      </c>
      <c r="E635" t="s">
        <v>42</v>
      </c>
      <c r="F635" t="s">
        <v>22</v>
      </c>
      <c r="G635" t="s">
        <v>23</v>
      </c>
      <c r="H635" t="s">
        <v>24</v>
      </c>
      <c r="I635">
        <v>4</v>
      </c>
      <c r="J635">
        <v>26910</v>
      </c>
      <c r="K635">
        <v>0.08</v>
      </c>
      <c r="L635" t="s">
        <v>68</v>
      </c>
      <c r="M635" t="s">
        <v>35</v>
      </c>
      <c r="N635" t="s">
        <v>27</v>
      </c>
      <c r="O635">
        <v>107640</v>
      </c>
      <c r="P635">
        <v>8611.2000000000007</v>
      </c>
      <c r="Q635">
        <v>99028.800000000003</v>
      </c>
      <c r="R635">
        <v>4</v>
      </c>
      <c r="S635" s="15">
        <f t="shared" si="9"/>
        <v>46174</v>
      </c>
    </row>
    <row r="636" spans="1:19">
      <c r="A636" t="s">
        <v>712</v>
      </c>
      <c r="B636" s="2">
        <v>46190</v>
      </c>
      <c r="C636" t="s">
        <v>29</v>
      </c>
      <c r="D636" t="s">
        <v>85</v>
      </c>
      <c r="E636" t="s">
        <v>42</v>
      </c>
      <c r="F636" t="s">
        <v>22</v>
      </c>
      <c r="G636" t="s">
        <v>95</v>
      </c>
      <c r="H636" t="s">
        <v>24</v>
      </c>
      <c r="I636">
        <v>1</v>
      </c>
      <c r="J636">
        <v>22440</v>
      </c>
      <c r="K636">
        <v>0.03</v>
      </c>
      <c r="L636" t="s">
        <v>34</v>
      </c>
      <c r="M636" t="s">
        <v>71</v>
      </c>
      <c r="N636" t="s">
        <v>27</v>
      </c>
      <c r="O636">
        <v>22440</v>
      </c>
      <c r="P636">
        <v>673.2</v>
      </c>
      <c r="Q636">
        <v>21766.799999999999</v>
      </c>
      <c r="R636">
        <v>4</v>
      </c>
      <c r="S636" s="15">
        <f t="shared" si="9"/>
        <v>46174</v>
      </c>
    </row>
    <row r="637" spans="1:19">
      <c r="A637" t="s">
        <v>713</v>
      </c>
      <c r="B637" s="2">
        <v>46192</v>
      </c>
      <c r="C637" t="s">
        <v>40</v>
      </c>
      <c r="D637" t="s">
        <v>41</v>
      </c>
      <c r="E637" t="s">
        <v>42</v>
      </c>
      <c r="F637" t="s">
        <v>22</v>
      </c>
      <c r="G637" t="s">
        <v>37</v>
      </c>
      <c r="H637" t="s">
        <v>24</v>
      </c>
      <c r="I637">
        <v>5</v>
      </c>
      <c r="J637">
        <v>60930</v>
      </c>
      <c r="K637">
        <v>0.15</v>
      </c>
      <c r="L637" t="s">
        <v>64</v>
      </c>
      <c r="M637" t="s">
        <v>44</v>
      </c>
      <c r="N637" t="s">
        <v>27</v>
      </c>
      <c r="O637">
        <v>304650</v>
      </c>
      <c r="P637">
        <v>45697.5</v>
      </c>
      <c r="Q637">
        <v>258952.5</v>
      </c>
      <c r="R637">
        <v>3</v>
      </c>
      <c r="S637" s="15">
        <f t="shared" si="9"/>
        <v>46174</v>
      </c>
    </row>
    <row r="638" spans="1:19">
      <c r="A638" t="s">
        <v>714</v>
      </c>
      <c r="B638" s="2">
        <v>46193</v>
      </c>
      <c r="C638" t="s">
        <v>19</v>
      </c>
      <c r="D638" t="s">
        <v>57</v>
      </c>
      <c r="E638" t="s">
        <v>21</v>
      </c>
      <c r="F638" t="s">
        <v>22</v>
      </c>
      <c r="G638" t="s">
        <v>62</v>
      </c>
      <c r="H638" t="s">
        <v>33</v>
      </c>
      <c r="I638">
        <v>2</v>
      </c>
      <c r="J638">
        <v>1780</v>
      </c>
      <c r="K638">
        <v>0.08</v>
      </c>
      <c r="L638" t="s">
        <v>64</v>
      </c>
      <c r="M638" t="s">
        <v>44</v>
      </c>
      <c r="N638" t="s">
        <v>27</v>
      </c>
      <c r="O638">
        <v>3560</v>
      </c>
      <c r="P638">
        <v>284.8</v>
      </c>
      <c r="Q638">
        <v>3275.2</v>
      </c>
      <c r="R638">
        <v>1</v>
      </c>
      <c r="S638" s="15">
        <f t="shared" si="9"/>
        <v>46174</v>
      </c>
    </row>
    <row r="639" spans="1:19">
      <c r="A639" t="s">
        <v>715</v>
      </c>
      <c r="B639" s="2">
        <v>46194</v>
      </c>
      <c r="C639" t="s">
        <v>29</v>
      </c>
      <c r="D639" t="s">
        <v>85</v>
      </c>
      <c r="E639" t="s">
        <v>42</v>
      </c>
      <c r="F639" t="s">
        <v>31</v>
      </c>
      <c r="G639" t="s">
        <v>92</v>
      </c>
      <c r="H639" t="s">
        <v>24</v>
      </c>
      <c r="I639">
        <v>3</v>
      </c>
      <c r="J639">
        <v>17600</v>
      </c>
      <c r="K639">
        <v>0</v>
      </c>
      <c r="L639" t="s">
        <v>64</v>
      </c>
      <c r="M639" t="s">
        <v>38</v>
      </c>
      <c r="N639" t="s">
        <v>27</v>
      </c>
      <c r="O639">
        <v>52800</v>
      </c>
      <c r="P639">
        <v>0</v>
      </c>
      <c r="Q639">
        <v>52800</v>
      </c>
      <c r="R639">
        <v>5</v>
      </c>
      <c r="S639" s="15">
        <f t="shared" si="9"/>
        <v>46174</v>
      </c>
    </row>
    <row r="640" spans="1:19">
      <c r="A640" t="s">
        <v>716</v>
      </c>
      <c r="B640" s="2">
        <v>46195</v>
      </c>
      <c r="C640" t="s">
        <v>29</v>
      </c>
      <c r="D640" t="s">
        <v>61</v>
      </c>
      <c r="E640" t="s">
        <v>42</v>
      </c>
      <c r="F640" t="s">
        <v>22</v>
      </c>
      <c r="G640" t="s">
        <v>32</v>
      </c>
      <c r="H640" t="s">
        <v>33</v>
      </c>
      <c r="I640">
        <v>5</v>
      </c>
      <c r="J640">
        <v>2390</v>
      </c>
      <c r="K640">
        <v>0.08</v>
      </c>
      <c r="L640" t="s">
        <v>54</v>
      </c>
      <c r="M640" t="s">
        <v>50</v>
      </c>
      <c r="N640" t="s">
        <v>27</v>
      </c>
      <c r="O640">
        <v>11950</v>
      </c>
      <c r="P640">
        <v>956</v>
      </c>
      <c r="Q640">
        <v>10994</v>
      </c>
      <c r="R640">
        <v>3</v>
      </c>
      <c r="S640" s="15">
        <f t="shared" si="9"/>
        <v>46174</v>
      </c>
    </row>
    <row r="641" spans="1:19">
      <c r="A641" t="s">
        <v>717</v>
      </c>
      <c r="B641" s="2">
        <v>46196</v>
      </c>
      <c r="C641" t="s">
        <v>82</v>
      </c>
      <c r="D641" t="s">
        <v>178</v>
      </c>
      <c r="E641" t="s">
        <v>42</v>
      </c>
      <c r="F641" t="s">
        <v>22</v>
      </c>
      <c r="G641" t="s">
        <v>48</v>
      </c>
      <c r="H641" t="s">
        <v>49</v>
      </c>
      <c r="I641">
        <v>1</v>
      </c>
      <c r="J641">
        <v>12150</v>
      </c>
      <c r="K641">
        <v>0.05</v>
      </c>
      <c r="L641" t="s">
        <v>64</v>
      </c>
      <c r="M641" t="s">
        <v>50</v>
      </c>
      <c r="N641" t="s">
        <v>27</v>
      </c>
      <c r="O641">
        <v>12150</v>
      </c>
      <c r="P641">
        <v>607.5</v>
      </c>
      <c r="Q641">
        <v>11542.5</v>
      </c>
      <c r="R641">
        <v>3</v>
      </c>
      <c r="S641" s="15">
        <f t="shared" si="9"/>
        <v>46174</v>
      </c>
    </row>
    <row r="642" spans="1:19">
      <c r="A642" t="s">
        <v>718</v>
      </c>
      <c r="B642" s="2">
        <v>46196</v>
      </c>
      <c r="C642" t="s">
        <v>82</v>
      </c>
      <c r="D642" t="s">
        <v>178</v>
      </c>
      <c r="E642" t="s">
        <v>42</v>
      </c>
      <c r="F642" t="s">
        <v>22</v>
      </c>
      <c r="G642" t="s">
        <v>101</v>
      </c>
      <c r="H642" t="s">
        <v>33</v>
      </c>
      <c r="I642">
        <v>1</v>
      </c>
      <c r="J642">
        <v>1890</v>
      </c>
      <c r="K642">
        <v>0.1</v>
      </c>
      <c r="L642" t="s">
        <v>68</v>
      </c>
      <c r="M642" t="s">
        <v>71</v>
      </c>
      <c r="N642" t="s">
        <v>27</v>
      </c>
      <c r="O642">
        <v>1890</v>
      </c>
      <c r="P642">
        <v>189</v>
      </c>
      <c r="Q642">
        <v>1701</v>
      </c>
      <c r="R642">
        <v>4</v>
      </c>
      <c r="S642" s="15">
        <f t="shared" ref="S642:S651" si="10">DATE(YEAR(B642),MONTH(B642),1)</f>
        <v>46174</v>
      </c>
    </row>
    <row r="643" spans="1:19">
      <c r="A643" t="s">
        <v>719</v>
      </c>
      <c r="B643" s="2">
        <v>46197</v>
      </c>
      <c r="C643" t="s">
        <v>82</v>
      </c>
      <c r="D643" t="s">
        <v>178</v>
      </c>
      <c r="E643" t="s">
        <v>42</v>
      </c>
      <c r="F643" t="s">
        <v>22</v>
      </c>
      <c r="G643" t="s">
        <v>95</v>
      </c>
      <c r="H643" t="s">
        <v>24</v>
      </c>
      <c r="I643">
        <v>4</v>
      </c>
      <c r="J643">
        <v>23200</v>
      </c>
      <c r="K643">
        <v>0</v>
      </c>
      <c r="L643" t="s">
        <v>64</v>
      </c>
      <c r="M643" t="s">
        <v>38</v>
      </c>
      <c r="N643" t="s">
        <v>27</v>
      </c>
      <c r="O643">
        <v>92800</v>
      </c>
      <c r="P643">
        <v>0</v>
      </c>
      <c r="Q643">
        <v>92800</v>
      </c>
      <c r="R643">
        <v>2</v>
      </c>
      <c r="S643" s="15">
        <f t="shared" si="10"/>
        <v>46174</v>
      </c>
    </row>
    <row r="644" spans="1:19">
      <c r="A644" t="s">
        <v>720</v>
      </c>
      <c r="B644" s="2">
        <v>46198</v>
      </c>
      <c r="C644" t="s">
        <v>29</v>
      </c>
      <c r="D644" t="s">
        <v>85</v>
      </c>
      <c r="E644" t="s">
        <v>70</v>
      </c>
      <c r="F644" t="s">
        <v>22</v>
      </c>
      <c r="G644" t="s">
        <v>95</v>
      </c>
      <c r="H644" t="s">
        <v>24</v>
      </c>
      <c r="I644">
        <v>5</v>
      </c>
      <c r="J644">
        <v>21790</v>
      </c>
      <c r="K644">
        <v>0.08</v>
      </c>
      <c r="L644" t="s">
        <v>54</v>
      </c>
      <c r="M644" t="s">
        <v>35</v>
      </c>
      <c r="N644" t="s">
        <v>27</v>
      </c>
      <c r="O644">
        <v>108950</v>
      </c>
      <c r="P644">
        <v>8716</v>
      </c>
      <c r="Q644">
        <v>100234</v>
      </c>
      <c r="R644">
        <v>3</v>
      </c>
      <c r="S644" s="15">
        <f t="shared" si="10"/>
        <v>46174</v>
      </c>
    </row>
    <row r="645" spans="1:19">
      <c r="A645" t="s">
        <v>721</v>
      </c>
      <c r="B645" s="2">
        <v>46198</v>
      </c>
      <c r="C645" t="s">
        <v>40</v>
      </c>
      <c r="D645" t="s">
        <v>41</v>
      </c>
      <c r="E645" t="s">
        <v>42</v>
      </c>
      <c r="F645" t="s">
        <v>22</v>
      </c>
      <c r="G645" t="s">
        <v>73</v>
      </c>
      <c r="H645" t="s">
        <v>74</v>
      </c>
      <c r="I645">
        <v>3</v>
      </c>
      <c r="J645">
        <v>11310</v>
      </c>
      <c r="K645">
        <v>0.08</v>
      </c>
      <c r="L645" t="s">
        <v>25</v>
      </c>
      <c r="M645" t="s">
        <v>71</v>
      </c>
      <c r="N645" t="s">
        <v>27</v>
      </c>
      <c r="O645">
        <v>33930</v>
      </c>
      <c r="P645">
        <v>2714.4</v>
      </c>
      <c r="Q645">
        <v>31215.599999999999</v>
      </c>
      <c r="R645">
        <v>6</v>
      </c>
      <c r="S645" s="15">
        <f t="shared" si="10"/>
        <v>46174</v>
      </c>
    </row>
    <row r="646" spans="1:19">
      <c r="A646" t="s">
        <v>722</v>
      </c>
      <c r="B646" s="2">
        <v>46198</v>
      </c>
      <c r="C646" t="s">
        <v>40</v>
      </c>
      <c r="D646" t="s">
        <v>47</v>
      </c>
      <c r="E646" t="s">
        <v>70</v>
      </c>
      <c r="F646" t="s">
        <v>22</v>
      </c>
      <c r="G646" t="s">
        <v>58</v>
      </c>
      <c r="H646" t="s">
        <v>59</v>
      </c>
      <c r="I646">
        <v>1</v>
      </c>
      <c r="J646">
        <v>6860</v>
      </c>
      <c r="K646">
        <v>0.03</v>
      </c>
      <c r="L646" t="s">
        <v>54</v>
      </c>
      <c r="M646" t="s">
        <v>26</v>
      </c>
      <c r="N646" t="s">
        <v>27</v>
      </c>
      <c r="O646">
        <v>6860</v>
      </c>
      <c r="P646">
        <v>205.8</v>
      </c>
      <c r="Q646">
        <v>6654.2</v>
      </c>
      <c r="R646">
        <v>3</v>
      </c>
      <c r="S646" s="15">
        <f t="shared" si="10"/>
        <v>46174</v>
      </c>
    </row>
    <row r="647" spans="1:19">
      <c r="A647" t="s">
        <v>723</v>
      </c>
      <c r="B647" s="2">
        <v>46198</v>
      </c>
      <c r="C647" t="s">
        <v>40</v>
      </c>
      <c r="D647" t="s">
        <v>47</v>
      </c>
      <c r="E647" t="s">
        <v>42</v>
      </c>
      <c r="F647" t="s">
        <v>22</v>
      </c>
      <c r="G647" t="s">
        <v>95</v>
      </c>
      <c r="H647" t="s">
        <v>24</v>
      </c>
      <c r="I647">
        <v>3</v>
      </c>
      <c r="J647">
        <v>21730</v>
      </c>
      <c r="K647">
        <v>0.1</v>
      </c>
      <c r="L647" t="s">
        <v>64</v>
      </c>
      <c r="M647" t="s">
        <v>55</v>
      </c>
      <c r="N647" t="s">
        <v>27</v>
      </c>
      <c r="O647">
        <v>65190</v>
      </c>
      <c r="P647">
        <v>6519</v>
      </c>
      <c r="Q647">
        <v>58671</v>
      </c>
      <c r="R647">
        <v>2</v>
      </c>
      <c r="S647" s="15">
        <f t="shared" si="10"/>
        <v>46174</v>
      </c>
    </row>
    <row r="648" spans="1:19">
      <c r="A648" t="s">
        <v>724</v>
      </c>
      <c r="B648" s="2">
        <v>46198</v>
      </c>
      <c r="C648" t="s">
        <v>19</v>
      </c>
      <c r="D648" t="s">
        <v>103</v>
      </c>
      <c r="E648" t="s">
        <v>42</v>
      </c>
      <c r="F648" t="s">
        <v>31</v>
      </c>
      <c r="G648" t="s">
        <v>152</v>
      </c>
      <c r="H648" t="s">
        <v>74</v>
      </c>
      <c r="I648">
        <v>1</v>
      </c>
      <c r="J648">
        <v>15200</v>
      </c>
      <c r="K648">
        <v>0</v>
      </c>
      <c r="L648" t="s">
        <v>68</v>
      </c>
      <c r="M648" t="s">
        <v>38</v>
      </c>
      <c r="N648" t="s">
        <v>27</v>
      </c>
      <c r="O648">
        <v>15200</v>
      </c>
      <c r="P648">
        <v>0</v>
      </c>
      <c r="Q648">
        <v>15200</v>
      </c>
      <c r="R648">
        <v>3</v>
      </c>
      <c r="S648" s="15">
        <f t="shared" si="10"/>
        <v>46174</v>
      </c>
    </row>
    <row r="649" spans="1:19">
      <c r="A649" t="s">
        <v>725</v>
      </c>
      <c r="B649" s="2">
        <v>46199</v>
      </c>
      <c r="C649" t="s">
        <v>40</v>
      </c>
      <c r="D649" t="s">
        <v>47</v>
      </c>
      <c r="E649" t="s">
        <v>42</v>
      </c>
      <c r="F649" t="s">
        <v>22</v>
      </c>
      <c r="G649" t="s">
        <v>58</v>
      </c>
      <c r="H649" t="s">
        <v>59</v>
      </c>
      <c r="I649">
        <v>1</v>
      </c>
      <c r="J649">
        <v>7150</v>
      </c>
      <c r="K649">
        <v>0.08</v>
      </c>
      <c r="L649" t="s">
        <v>68</v>
      </c>
      <c r="M649" t="s">
        <v>44</v>
      </c>
      <c r="N649" t="s">
        <v>27</v>
      </c>
      <c r="O649">
        <v>7150</v>
      </c>
      <c r="P649">
        <v>572</v>
      </c>
      <c r="Q649">
        <v>6578</v>
      </c>
      <c r="R649">
        <v>1</v>
      </c>
      <c r="S649" s="15">
        <f t="shared" si="10"/>
        <v>46174</v>
      </c>
    </row>
    <row r="650" spans="1:19">
      <c r="A650" t="s">
        <v>726</v>
      </c>
      <c r="B650" s="2">
        <v>46201</v>
      </c>
      <c r="C650" t="s">
        <v>29</v>
      </c>
      <c r="D650" t="s">
        <v>85</v>
      </c>
      <c r="E650" t="s">
        <v>42</v>
      </c>
      <c r="F650" t="s">
        <v>53</v>
      </c>
      <c r="G650" t="s">
        <v>152</v>
      </c>
      <c r="H650" t="s">
        <v>74</v>
      </c>
      <c r="I650">
        <v>1</v>
      </c>
      <c r="J650">
        <v>13910</v>
      </c>
      <c r="K650">
        <v>0.05</v>
      </c>
      <c r="L650" t="s">
        <v>64</v>
      </c>
      <c r="M650" t="s">
        <v>66</v>
      </c>
      <c r="N650" t="s">
        <v>27</v>
      </c>
      <c r="O650">
        <v>13910</v>
      </c>
      <c r="P650">
        <v>695.5</v>
      </c>
      <c r="Q650">
        <v>13214.5</v>
      </c>
      <c r="R650">
        <v>3</v>
      </c>
      <c r="S650" s="15">
        <f t="shared" si="10"/>
        <v>46174</v>
      </c>
    </row>
    <row r="651" spans="1:19">
      <c r="A651" t="s">
        <v>727</v>
      </c>
      <c r="B651" s="2">
        <v>46202</v>
      </c>
      <c r="C651" t="s">
        <v>29</v>
      </c>
      <c r="D651" t="s">
        <v>85</v>
      </c>
      <c r="E651" t="s">
        <v>21</v>
      </c>
      <c r="F651" t="s">
        <v>22</v>
      </c>
      <c r="G651" t="s">
        <v>92</v>
      </c>
      <c r="H651" t="s">
        <v>24</v>
      </c>
      <c r="I651">
        <v>2</v>
      </c>
      <c r="J651">
        <v>16650</v>
      </c>
      <c r="K651">
        <v>0.05</v>
      </c>
      <c r="L651" t="s">
        <v>34</v>
      </c>
      <c r="M651" t="s">
        <v>50</v>
      </c>
      <c r="N651" t="s">
        <v>27</v>
      </c>
      <c r="O651">
        <v>33300</v>
      </c>
      <c r="P651">
        <v>1665</v>
      </c>
      <c r="Q651">
        <v>31635</v>
      </c>
      <c r="R651">
        <v>1</v>
      </c>
      <c r="S651" s="15">
        <f t="shared" si="10"/>
        <v>46174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8D335-13A5-4401-A006-778EA678E0FD}">
  <dimension ref="A1:J45"/>
  <sheetViews>
    <sheetView workbookViewId="0">
      <selection activeCell="D3" sqref="D3"/>
    </sheetView>
  </sheetViews>
  <sheetFormatPr defaultRowHeight="15"/>
  <cols>
    <col min="1" max="1" width="19" bestFit="1" customWidth="1"/>
    <col min="2" max="2" width="20" bestFit="1" customWidth="1"/>
    <col min="3" max="3" width="11.7109375" customWidth="1"/>
    <col min="4" max="4" width="11.7109375" bestFit="1" customWidth="1"/>
    <col min="5" max="5" width="16.42578125" bestFit="1" customWidth="1"/>
    <col min="6" max="6" width="20" bestFit="1" customWidth="1"/>
    <col min="8" max="8" width="16.7109375" bestFit="1" customWidth="1"/>
    <col min="9" max="9" width="20" bestFit="1" customWidth="1"/>
    <col min="10" max="10" width="11.5703125" customWidth="1"/>
  </cols>
  <sheetData>
    <row r="1" spans="1:10">
      <c r="A1" s="11" t="s">
        <v>741</v>
      </c>
      <c r="B1" s="12">
        <f>SUM(Table2[Net Sales INR])</f>
        <v>20805535.500000015</v>
      </c>
    </row>
    <row r="3" spans="1:10">
      <c r="A3" s="5" t="s">
        <v>7</v>
      </c>
      <c r="B3" t="s">
        <v>24</v>
      </c>
      <c r="D3" s="5" t="s">
        <v>2</v>
      </c>
      <c r="E3" s="5" t="s">
        <v>7</v>
      </c>
      <c r="F3" t="s">
        <v>742</v>
      </c>
      <c r="H3" s="8" t="s">
        <v>743</v>
      </c>
      <c r="I3" s="9">
        <f>COUNTA(Table2[Order ID])</f>
        <v>650</v>
      </c>
      <c r="J3" s="7"/>
    </row>
    <row r="4" spans="1:10">
      <c r="A4" s="8" t="s">
        <v>744</v>
      </c>
      <c r="B4" s="9"/>
      <c r="D4" t="s">
        <v>82</v>
      </c>
      <c r="E4" t="s">
        <v>33</v>
      </c>
      <c r="F4" s="6">
        <v>120644.7</v>
      </c>
      <c r="H4" s="8" t="s">
        <v>745</v>
      </c>
      <c r="I4" s="10">
        <f>B1/I3</f>
        <v>32008.516153846176</v>
      </c>
      <c r="J4" s="6"/>
    </row>
    <row r="5" spans="1:10">
      <c r="A5" s="5" t="s">
        <v>2</v>
      </c>
      <c r="B5" t="s">
        <v>742</v>
      </c>
      <c r="E5" t="s">
        <v>24</v>
      </c>
      <c r="F5" s="6">
        <v>1587261.7999999998</v>
      </c>
      <c r="J5" s="6"/>
    </row>
    <row r="6" spans="1:10">
      <c r="A6" t="s">
        <v>82</v>
      </c>
      <c r="B6" s="6">
        <v>1587261.8</v>
      </c>
      <c r="E6" t="s">
        <v>74</v>
      </c>
      <c r="F6" s="6">
        <v>269369.59999999998</v>
      </c>
      <c r="H6" s="5" t="s">
        <v>730</v>
      </c>
      <c r="I6" t="s">
        <v>742</v>
      </c>
      <c r="J6" s="6"/>
    </row>
    <row r="7" spans="1:10">
      <c r="A7" t="s">
        <v>19</v>
      </c>
      <c r="B7" s="6">
        <v>3140337.1</v>
      </c>
      <c r="E7" t="s">
        <v>49</v>
      </c>
      <c r="F7" s="6">
        <v>117757.79999999999</v>
      </c>
      <c r="H7" t="s">
        <v>70</v>
      </c>
      <c r="I7" s="6">
        <v>3396095.8000000007</v>
      </c>
      <c r="J7" s="6"/>
    </row>
    <row r="8" spans="1:10">
      <c r="A8" t="s">
        <v>40</v>
      </c>
      <c r="B8" s="6">
        <v>6643505.4000000013</v>
      </c>
      <c r="E8" t="s">
        <v>59</v>
      </c>
      <c r="F8" s="6">
        <v>160603.30000000002</v>
      </c>
      <c r="H8" t="s">
        <v>42</v>
      </c>
      <c r="I8" s="6">
        <v>9729336.700000003</v>
      </c>
      <c r="J8" s="6"/>
    </row>
    <row r="9" spans="1:10">
      <c r="A9" t="s">
        <v>29</v>
      </c>
      <c r="B9" s="6">
        <v>4820276.4999999991</v>
      </c>
      <c r="D9" t="s">
        <v>746</v>
      </c>
      <c r="F9" s="6">
        <v>2255637.1999999997</v>
      </c>
      <c r="H9" t="s">
        <v>21</v>
      </c>
      <c r="I9" s="6">
        <v>7680103.0000000009</v>
      </c>
      <c r="J9" s="6"/>
    </row>
    <row r="10" spans="1:10">
      <c r="A10" t="s">
        <v>747</v>
      </c>
      <c r="B10" s="6">
        <v>16191380.800000001</v>
      </c>
      <c r="D10" t="s">
        <v>19</v>
      </c>
      <c r="E10" t="s">
        <v>33</v>
      </c>
      <c r="F10" s="6">
        <v>157598.79999999999</v>
      </c>
      <c r="H10" t="s">
        <v>747</v>
      </c>
      <c r="I10" s="6">
        <v>20805535.500000004</v>
      </c>
      <c r="J10" s="6"/>
    </row>
    <row r="11" spans="1:10">
      <c r="E11" t="s">
        <v>24</v>
      </c>
      <c r="F11" s="6">
        <v>3140337.0999999996</v>
      </c>
      <c r="J11" s="6"/>
    </row>
    <row r="12" spans="1:10">
      <c r="A12" s="8" t="s">
        <v>748</v>
      </c>
      <c r="B12" s="9"/>
      <c r="E12" t="s">
        <v>74</v>
      </c>
      <c r="F12" s="6">
        <v>533239.60000000009</v>
      </c>
      <c r="J12" s="6"/>
    </row>
    <row r="13" spans="1:10">
      <c r="A13" s="5" t="s">
        <v>7</v>
      </c>
      <c r="B13" t="s">
        <v>742</v>
      </c>
      <c r="E13" t="s">
        <v>49</v>
      </c>
      <c r="F13" s="6">
        <v>70908.600000000006</v>
      </c>
      <c r="J13" s="6"/>
    </row>
    <row r="14" spans="1:10">
      <c r="A14" t="s">
        <v>33</v>
      </c>
      <c r="B14" s="6">
        <v>777184.8</v>
      </c>
      <c r="E14" t="s">
        <v>59</v>
      </c>
      <c r="F14" s="6">
        <v>193450.6</v>
      </c>
    </row>
    <row r="15" spans="1:10">
      <c r="A15" t="s">
        <v>24</v>
      </c>
      <c r="B15" s="6">
        <v>16191380.800000003</v>
      </c>
      <c r="D15" t="s">
        <v>749</v>
      </c>
      <c r="F15" s="6">
        <v>4095534.6999999997</v>
      </c>
    </row>
    <row r="16" spans="1:10">
      <c r="A16" t="s">
        <v>74</v>
      </c>
      <c r="B16" s="6">
        <v>2412867.4</v>
      </c>
      <c r="D16" t="s">
        <v>40</v>
      </c>
      <c r="E16" t="s">
        <v>33</v>
      </c>
      <c r="F16" s="6">
        <v>262422.40000000002</v>
      </c>
    </row>
    <row r="17" spans="1:6">
      <c r="A17" t="s">
        <v>49</v>
      </c>
      <c r="B17" s="6">
        <v>610225.99999999988</v>
      </c>
      <c r="E17" t="s">
        <v>24</v>
      </c>
      <c r="F17" s="6">
        <v>6643505.3999999985</v>
      </c>
    </row>
    <row r="18" spans="1:6">
      <c r="A18" t="s">
        <v>59</v>
      </c>
      <c r="B18" s="6">
        <v>813876.5</v>
      </c>
      <c r="E18" t="s">
        <v>74</v>
      </c>
      <c r="F18" s="6">
        <v>1025116.2000000001</v>
      </c>
    </row>
    <row r="19" spans="1:6">
      <c r="A19" t="s">
        <v>747</v>
      </c>
      <c r="B19" s="6">
        <v>20805535.5</v>
      </c>
      <c r="E19" t="s">
        <v>49</v>
      </c>
      <c r="F19" s="6">
        <v>246737.60000000003</v>
      </c>
    </row>
    <row r="20" spans="1:6">
      <c r="E20" t="s">
        <v>59</v>
      </c>
      <c r="F20" s="6">
        <v>277185.90000000002</v>
      </c>
    </row>
    <row r="21" spans="1:6">
      <c r="A21" s="8" t="s">
        <v>734</v>
      </c>
      <c r="B21" s="9"/>
      <c r="D21" t="s">
        <v>750</v>
      </c>
      <c r="F21" s="6">
        <v>8454967.4999999981</v>
      </c>
    </row>
    <row r="22" spans="1:6">
      <c r="A22" s="5" t="s">
        <v>734</v>
      </c>
      <c r="B22" t="s">
        <v>751</v>
      </c>
      <c r="D22" t="s">
        <v>29</v>
      </c>
      <c r="E22" t="s">
        <v>33</v>
      </c>
      <c r="F22" s="6">
        <v>236518.90000000002</v>
      </c>
    </row>
    <row r="23" spans="1:6">
      <c r="A23" t="s">
        <v>45</v>
      </c>
      <c r="B23" s="6">
        <v>21</v>
      </c>
      <c r="E23" t="s">
        <v>24</v>
      </c>
      <c r="F23" s="6">
        <v>4820276.4999999991</v>
      </c>
    </row>
    <row r="24" spans="1:6">
      <c r="A24" t="s">
        <v>27</v>
      </c>
      <c r="B24" s="6">
        <v>616</v>
      </c>
      <c r="E24" t="s">
        <v>74</v>
      </c>
      <c r="F24" s="6">
        <v>585142.00000000012</v>
      </c>
    </row>
    <row r="25" spans="1:6">
      <c r="A25" t="s">
        <v>130</v>
      </c>
      <c r="B25" s="6">
        <v>13</v>
      </c>
      <c r="E25" t="s">
        <v>49</v>
      </c>
      <c r="F25" s="6">
        <v>174822</v>
      </c>
    </row>
    <row r="26" spans="1:6">
      <c r="A26" t="s">
        <v>747</v>
      </c>
      <c r="B26" s="6">
        <v>650</v>
      </c>
      <c r="E26" t="s">
        <v>59</v>
      </c>
      <c r="F26" s="6">
        <v>182636.69999999998</v>
      </c>
    </row>
    <row r="27" spans="1:6">
      <c r="D27" t="s">
        <v>752</v>
      </c>
      <c r="F27" s="6">
        <v>5999396.0999999996</v>
      </c>
    </row>
    <row r="28" spans="1:6">
      <c r="A28" s="7" t="s">
        <v>753</v>
      </c>
      <c r="B28" s="13">
        <f>B23/B26</f>
        <v>3.2307692307692308E-2</v>
      </c>
      <c r="D28" t="s">
        <v>747</v>
      </c>
      <c r="F28" s="6">
        <v>20805535.499999996</v>
      </c>
    </row>
    <row r="29" spans="1:6">
      <c r="A29" s="7" t="s">
        <v>754</v>
      </c>
      <c r="B29" s="13">
        <f>B25/B26</f>
        <v>0.02</v>
      </c>
    </row>
    <row r="32" spans="1:6">
      <c r="A32" s="5" t="s">
        <v>739</v>
      </c>
      <c r="B32" t="s">
        <v>742</v>
      </c>
    </row>
    <row r="33" spans="1:2">
      <c r="A33" s="15">
        <v>45839</v>
      </c>
      <c r="B33" s="6">
        <v>2445250.6999999997</v>
      </c>
    </row>
    <row r="34" spans="1:2">
      <c r="A34" s="15">
        <v>45870</v>
      </c>
      <c r="B34" s="6">
        <v>1299864.5</v>
      </c>
    </row>
    <row r="35" spans="1:2">
      <c r="A35" s="15">
        <v>45901</v>
      </c>
      <c r="B35" s="6">
        <v>1267369.1000000003</v>
      </c>
    </row>
    <row r="36" spans="1:2">
      <c r="A36" s="15">
        <v>45931</v>
      </c>
      <c r="B36" s="6">
        <v>1603880.7</v>
      </c>
    </row>
    <row r="37" spans="1:2">
      <c r="A37" s="15">
        <v>45962</v>
      </c>
      <c r="B37" s="6">
        <v>1501010.0999999999</v>
      </c>
    </row>
    <row r="38" spans="1:2">
      <c r="A38" s="15">
        <v>45992</v>
      </c>
      <c r="B38" s="6">
        <v>1699782.5</v>
      </c>
    </row>
    <row r="39" spans="1:2">
      <c r="A39" s="15">
        <v>46023</v>
      </c>
      <c r="B39" s="6">
        <v>1958918.2</v>
      </c>
    </row>
    <row r="40" spans="1:2">
      <c r="A40" s="15">
        <v>46054</v>
      </c>
      <c r="B40" s="6">
        <v>1120508.8999999999</v>
      </c>
    </row>
    <row r="41" spans="1:2">
      <c r="A41" s="15">
        <v>46082</v>
      </c>
      <c r="B41" s="6">
        <v>2872539.1999999993</v>
      </c>
    </row>
    <row r="42" spans="1:2">
      <c r="A42" s="15">
        <v>46113</v>
      </c>
      <c r="B42" s="6">
        <v>1374952.3</v>
      </c>
    </row>
    <row r="43" spans="1:2">
      <c r="A43" s="15">
        <v>46143</v>
      </c>
      <c r="B43" s="6">
        <v>2113859.5</v>
      </c>
    </row>
    <row r="44" spans="1:2">
      <c r="A44" s="15">
        <v>46174</v>
      </c>
      <c r="B44" s="6">
        <v>1547599.8</v>
      </c>
    </row>
    <row r="45" spans="1:2">
      <c r="A45" s="15" t="s">
        <v>747</v>
      </c>
      <c r="B45" s="6">
        <v>20805535.5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9207D-8178-4CE1-8030-3D136B067F89}">
  <dimension ref="A1:G14"/>
  <sheetViews>
    <sheetView topLeftCell="A11" workbookViewId="0">
      <selection activeCell="K15" sqref="K15"/>
    </sheetView>
  </sheetViews>
  <sheetFormatPr defaultRowHeight="15"/>
  <cols>
    <col min="1" max="1" width="19.85546875" style="16" bestFit="1" customWidth="1"/>
    <col min="2" max="2" width="14.5703125" bestFit="1" customWidth="1"/>
    <col min="3" max="3" width="22.7109375" bestFit="1" customWidth="1"/>
    <col min="4" max="4" width="20.140625" bestFit="1" customWidth="1"/>
    <col min="5" max="5" width="13.7109375" bestFit="1" customWidth="1"/>
  </cols>
  <sheetData>
    <row r="1" spans="1:7">
      <c r="A1" s="3" t="s">
        <v>755</v>
      </c>
      <c r="B1" s="3"/>
    </row>
    <row r="3" spans="1:7">
      <c r="A3" s="8" t="s">
        <v>756</v>
      </c>
      <c r="B3" s="8" t="s">
        <v>757</v>
      </c>
      <c r="C3" s="8" t="s">
        <v>758</v>
      </c>
      <c r="D3" s="8" t="s">
        <v>759</v>
      </c>
      <c r="E3" s="8" t="s">
        <v>760</v>
      </c>
    </row>
    <row r="4" spans="1:7">
      <c r="A4" s="18">
        <f>Analysis!B1</f>
        <v>20805535.500000015</v>
      </c>
      <c r="B4" s="19">
        <f>Analysis!B26</f>
        <v>650</v>
      </c>
      <c r="C4" s="20">
        <f>Analysis!I4</f>
        <v>32008.516153846176</v>
      </c>
      <c r="D4" s="21">
        <f>Analysis!B28</f>
        <v>3.2307692307692308E-2</v>
      </c>
      <c r="E4" s="22">
        <f>Analysis!B29</f>
        <v>0.02</v>
      </c>
    </row>
    <row r="6" spans="1:7">
      <c r="A6" s="25" t="s">
        <v>761</v>
      </c>
      <c r="B6" s="26"/>
      <c r="C6" s="26"/>
      <c r="D6" s="26"/>
      <c r="E6" s="26"/>
      <c r="F6" s="26"/>
      <c r="G6" s="27"/>
    </row>
    <row r="7" spans="1:7">
      <c r="A7" s="24" t="s">
        <v>762</v>
      </c>
      <c r="B7" s="11"/>
      <c r="C7" s="11"/>
      <c r="D7" s="11"/>
      <c r="E7" s="11"/>
      <c r="F7" s="11"/>
      <c r="G7" s="23"/>
    </row>
    <row r="8" spans="1:7">
      <c r="A8" s="11" t="s">
        <v>763</v>
      </c>
      <c r="B8" s="11"/>
      <c r="C8" s="11"/>
      <c r="D8" s="11"/>
      <c r="E8" s="11"/>
      <c r="F8" s="11"/>
      <c r="G8" s="23"/>
    </row>
    <row r="9" spans="1:7">
      <c r="A9" s="24" t="s">
        <v>764</v>
      </c>
      <c r="B9" s="11"/>
      <c r="C9" s="11"/>
      <c r="D9" s="11"/>
      <c r="E9" s="11"/>
      <c r="F9" s="11"/>
      <c r="G9" s="23"/>
    </row>
    <row r="10" spans="1:7">
      <c r="A10" s="11" t="s">
        <v>765</v>
      </c>
      <c r="B10" s="11"/>
      <c r="C10" s="11"/>
      <c r="D10" s="11"/>
      <c r="E10" s="11"/>
      <c r="F10" s="11"/>
      <c r="G10" s="23"/>
    </row>
    <row r="11" spans="1:7">
      <c r="A11" s="24" t="s">
        <v>766</v>
      </c>
      <c r="B11" s="11"/>
      <c r="C11" s="11"/>
      <c r="D11" s="11"/>
      <c r="E11" s="11"/>
      <c r="F11" s="11"/>
      <c r="G11" s="23"/>
    </row>
    <row r="12" spans="1:7">
      <c r="A12" s="11" t="s">
        <v>767</v>
      </c>
      <c r="B12" s="11"/>
      <c r="C12" s="11"/>
      <c r="D12" s="11"/>
      <c r="E12" s="11"/>
      <c r="F12" s="11"/>
      <c r="G12" s="23"/>
    </row>
    <row r="13" spans="1:7">
      <c r="A13" s="24" t="s">
        <v>768</v>
      </c>
      <c r="B13" s="11"/>
      <c r="C13" s="11"/>
      <c r="D13" s="11"/>
      <c r="E13" s="11"/>
      <c r="F13" s="11"/>
      <c r="G13" s="23"/>
    </row>
    <row r="14" spans="1:7">
      <c r="A14" s="28" t="s">
        <v>769</v>
      </c>
      <c r="B14" s="28"/>
      <c r="C14" s="28"/>
      <c r="D14" s="28"/>
      <c r="E14" s="28"/>
      <c r="F14" s="28"/>
      <c r="G14" s="2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1026-1567-420F-BF5D-00E87F6476A9}">
  <dimension ref="A1:D75"/>
  <sheetViews>
    <sheetView tabSelected="1" topLeftCell="A60" workbookViewId="0">
      <selection activeCell="A62" sqref="A62"/>
    </sheetView>
  </sheetViews>
  <sheetFormatPr defaultRowHeight="15"/>
  <cols>
    <col min="1" max="1" width="68.7109375" bestFit="1" customWidth="1"/>
    <col min="3" max="3" width="23" customWidth="1"/>
    <col min="4" max="4" width="99.85546875" bestFit="1" customWidth="1"/>
  </cols>
  <sheetData>
    <row r="1" spans="1:4" ht="26.25">
      <c r="A1" s="31" t="s">
        <v>770</v>
      </c>
      <c r="B1" s="30"/>
      <c r="C1" s="30"/>
      <c r="D1" s="30"/>
    </row>
    <row r="2" spans="1:4">
      <c r="A2" s="17" t="s">
        <v>771</v>
      </c>
      <c r="B2" s="11"/>
      <c r="C2" s="11"/>
      <c r="D2" s="24"/>
    </row>
    <row r="3" spans="1:4">
      <c r="A3" s="11"/>
      <c r="B3" s="11"/>
      <c r="C3" s="11"/>
      <c r="D3" s="24"/>
    </row>
    <row r="4" spans="1:4" ht="15.75">
      <c r="A4" s="33" t="s">
        <v>772</v>
      </c>
      <c r="B4" s="11"/>
      <c r="C4" s="32"/>
      <c r="D4" s="24"/>
    </row>
    <row r="5" spans="1:4" ht="45.75">
      <c r="A5" s="34" t="s">
        <v>773</v>
      </c>
      <c r="B5" s="11"/>
      <c r="C5" s="7"/>
      <c r="D5" s="24"/>
    </row>
    <row r="6" spans="1:4">
      <c r="A6" s="11"/>
      <c r="B6" s="11"/>
      <c r="D6" s="11"/>
    </row>
    <row r="7" spans="1:4" ht="15.75">
      <c r="A7" s="33" t="s">
        <v>774</v>
      </c>
      <c r="B7" s="11"/>
      <c r="C7" s="7"/>
      <c r="D7" s="11"/>
    </row>
    <row r="8" spans="1:4">
      <c r="A8" s="9" t="s">
        <v>775</v>
      </c>
      <c r="B8" s="11"/>
      <c r="D8" s="11"/>
    </row>
    <row r="9" spans="1:4">
      <c r="A9" s="9" t="s">
        <v>776</v>
      </c>
      <c r="B9" s="11"/>
      <c r="C9" s="7"/>
      <c r="D9" s="11"/>
    </row>
    <row r="10" spans="1:4">
      <c r="A10" s="9" t="s">
        <v>777</v>
      </c>
      <c r="B10" s="11"/>
      <c r="D10" s="11"/>
    </row>
    <row r="11" spans="1:4">
      <c r="A11" s="9" t="s">
        <v>778</v>
      </c>
      <c r="B11" s="11"/>
      <c r="C11" s="7"/>
      <c r="D11" s="11"/>
    </row>
    <row r="12" spans="1:4">
      <c r="A12" s="9" t="s">
        <v>779</v>
      </c>
      <c r="B12" s="11"/>
      <c r="D12" s="11"/>
    </row>
    <row r="13" spans="1:4">
      <c r="A13" s="9" t="s">
        <v>780</v>
      </c>
      <c r="B13" s="11"/>
      <c r="C13" s="7"/>
      <c r="D13" s="11"/>
    </row>
    <row r="14" spans="1:4">
      <c r="A14" s="11"/>
      <c r="B14" s="11"/>
      <c r="D14" s="11"/>
    </row>
    <row r="15" spans="1:4" ht="15.75">
      <c r="A15" s="33" t="s">
        <v>781</v>
      </c>
      <c r="B15" s="11"/>
      <c r="C15" s="11"/>
      <c r="D15" s="11"/>
    </row>
    <row r="16" spans="1:4" ht="45.75">
      <c r="A16" s="35" t="s">
        <v>782</v>
      </c>
      <c r="B16" s="11"/>
      <c r="C16" s="11"/>
      <c r="D16" s="11"/>
    </row>
    <row r="17" spans="1:4">
      <c r="A17" s="8" t="s">
        <v>783</v>
      </c>
      <c r="B17" s="11"/>
      <c r="C17" s="11"/>
      <c r="D17" s="11"/>
    </row>
    <row r="18" spans="1:4">
      <c r="A18" s="8" t="s">
        <v>784</v>
      </c>
      <c r="B18" s="11"/>
      <c r="C18" s="11"/>
      <c r="D18" s="11"/>
    </row>
    <row r="19" spans="1:4">
      <c r="A19" s="8" t="s">
        <v>785</v>
      </c>
      <c r="B19" s="11"/>
      <c r="C19" s="11"/>
      <c r="D19" s="11"/>
    </row>
    <row r="20" spans="1:4">
      <c r="A20" s="11"/>
      <c r="B20" s="11"/>
      <c r="C20" s="11"/>
      <c r="D20" s="11"/>
    </row>
    <row r="21" spans="1:4" ht="15.75">
      <c r="A21" s="33" t="s">
        <v>786</v>
      </c>
      <c r="B21" s="11"/>
      <c r="C21" s="11"/>
      <c r="D21" s="11"/>
    </row>
    <row r="22" spans="1:4">
      <c r="A22" s="9" t="s">
        <v>787</v>
      </c>
    </row>
    <row r="23" spans="1:4">
      <c r="A23" s="9" t="s">
        <v>788</v>
      </c>
    </row>
    <row r="24" spans="1:4">
      <c r="A24" s="9" t="s">
        <v>789</v>
      </c>
    </row>
    <row r="25" spans="1:4">
      <c r="A25" s="9" t="s">
        <v>790</v>
      </c>
    </row>
    <row r="26" spans="1:4">
      <c r="A26" s="9" t="s">
        <v>791</v>
      </c>
    </row>
    <row r="27" spans="1:4">
      <c r="A27" s="9" t="s">
        <v>792</v>
      </c>
    </row>
    <row r="28" spans="1:4">
      <c r="A28" s="9" t="s">
        <v>793</v>
      </c>
    </row>
    <row r="29" spans="1:4">
      <c r="A29" s="9" t="s">
        <v>794</v>
      </c>
    </row>
    <row r="31" spans="1:4" ht="15.75">
      <c r="A31" s="33" t="s">
        <v>795</v>
      </c>
    </row>
    <row r="32" spans="1:4" ht="76.5">
      <c r="A32" s="36" t="s">
        <v>796</v>
      </c>
    </row>
    <row r="34" spans="1:3" ht="15.75">
      <c r="A34" s="38" t="s">
        <v>797</v>
      </c>
    </row>
    <row r="35" spans="1:3">
      <c r="A35" s="39" t="s">
        <v>798</v>
      </c>
    </row>
    <row r="36" spans="1:3" ht="30.75">
      <c r="A36" s="35" t="s">
        <v>799</v>
      </c>
      <c r="C36" s="11"/>
    </row>
    <row r="37" spans="1:3">
      <c r="A37" s="39" t="s">
        <v>800</v>
      </c>
    </row>
    <row r="38" spans="1:3" ht="30.75">
      <c r="A38" s="35" t="s">
        <v>801</v>
      </c>
    </row>
    <row r="39" spans="1:3">
      <c r="A39" s="39" t="s">
        <v>766</v>
      </c>
    </row>
    <row r="40" spans="1:3" ht="30.75">
      <c r="A40" s="35" t="s">
        <v>802</v>
      </c>
    </row>
    <row r="41" spans="1:3">
      <c r="A41" s="39" t="s">
        <v>803</v>
      </c>
    </row>
    <row r="42" spans="1:3" ht="30.75">
      <c r="A42" s="35" t="s">
        <v>804</v>
      </c>
    </row>
    <row r="43" spans="1:3">
      <c r="A43" s="39" t="s">
        <v>805</v>
      </c>
    </row>
    <row r="44" spans="1:3" ht="45.75">
      <c r="A44" s="35" t="s">
        <v>806</v>
      </c>
    </row>
    <row r="46" spans="1:3">
      <c r="A46" s="41" t="s">
        <v>807</v>
      </c>
    </row>
    <row r="47" spans="1:3">
      <c r="A47" s="40" t="s">
        <v>808</v>
      </c>
    </row>
    <row r="48" spans="1:3" ht="45.75">
      <c r="A48" s="36" t="s">
        <v>809</v>
      </c>
    </row>
    <row r="49" spans="1:1">
      <c r="A49" s="8" t="s">
        <v>810</v>
      </c>
    </row>
    <row r="50" spans="1:1" ht="45.75">
      <c r="A50" s="36" t="s">
        <v>811</v>
      </c>
    </row>
    <row r="51" spans="1:1">
      <c r="A51" s="8" t="s">
        <v>812</v>
      </c>
    </row>
    <row r="52" spans="1:1" ht="45.75">
      <c r="A52" s="36" t="s">
        <v>813</v>
      </c>
    </row>
    <row r="53" spans="1:1">
      <c r="A53" s="37" t="s">
        <v>814</v>
      </c>
    </row>
    <row r="54" spans="1:1" ht="45.75">
      <c r="A54" s="36" t="s">
        <v>815</v>
      </c>
    </row>
    <row r="56" spans="1:1" ht="15.75">
      <c r="A56" s="33" t="s">
        <v>816</v>
      </c>
    </row>
    <row r="57" spans="1:1" ht="91.5">
      <c r="A57" s="36" t="s">
        <v>817</v>
      </c>
    </row>
    <row r="59" spans="1:1" ht="15.75">
      <c r="A59" s="38" t="s">
        <v>818</v>
      </c>
    </row>
    <row r="60" spans="1:1" ht="60.75">
      <c r="A60" s="36" t="s">
        <v>819</v>
      </c>
    </row>
    <row r="62" spans="1:1">
      <c r="A62" s="43" t="s">
        <v>820</v>
      </c>
    </row>
    <row r="63" spans="1:1">
      <c r="A63" s="23" t="s">
        <v>821</v>
      </c>
    </row>
    <row r="64" spans="1:1">
      <c r="A64" s="23" t="s">
        <v>822</v>
      </c>
    </row>
    <row r="65" spans="1:1">
      <c r="A65" s="23" t="s">
        <v>823</v>
      </c>
    </row>
    <row r="66" spans="1:1">
      <c r="A66" s="23" t="s">
        <v>824</v>
      </c>
    </row>
    <row r="67" spans="1:1">
      <c r="A67" s="23" t="s">
        <v>825</v>
      </c>
    </row>
    <row r="68" spans="1:1">
      <c r="A68" s="23" t="s">
        <v>826</v>
      </c>
    </row>
    <row r="69" spans="1:1">
      <c r="A69" s="23" t="s">
        <v>827</v>
      </c>
    </row>
    <row r="70" spans="1:1">
      <c r="A70" s="23" t="s">
        <v>828</v>
      </c>
    </row>
    <row r="71" spans="1:1">
      <c r="A71" s="23" t="s">
        <v>829</v>
      </c>
    </row>
    <row r="72" spans="1:1">
      <c r="A72" s="23" t="s">
        <v>830</v>
      </c>
    </row>
    <row r="73" spans="1:1">
      <c r="A73" s="23" t="s">
        <v>831</v>
      </c>
    </row>
    <row r="74" spans="1:1">
      <c r="A74" s="23" t="s">
        <v>832</v>
      </c>
    </row>
    <row r="75" spans="1:1">
      <c r="A75" s="42" t="s">
        <v>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2026-08-14T10:24:34Z</dcterms:created>
  <dcterms:modified xsi:type="dcterms:W3CDTF">2026-08-16T08:28:19Z</dcterms:modified>
  <cp:category/>
  <cp:contentStatus/>
</cp:coreProperties>
</file>